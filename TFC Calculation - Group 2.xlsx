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nce" sheetId="1" r:id="rId5"/>
    <sheet state="visible" name="BOM" sheetId="2" r:id="rId6"/>
    <sheet state="visible" name="Demand" sheetId="3" r:id="rId7"/>
    <sheet state="visible" name="Inbound" sheetId="4" r:id="rId8"/>
    <sheet state="visible" name="Mixing" sheetId="5" r:id="rId9"/>
    <sheet state="visible" name="Bottling" sheetId="6" r:id="rId10"/>
    <sheet state="visible" name="Outbound" sheetId="7" r:id="rId11"/>
    <sheet state="visible" name="MRP" sheetId="8"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tc={1225d949-4c37-4988-80ed-1c4f241fe1f2}</author>
    <author>tc={4d0cb8d0-fdb8-4acc-9174-e0baa689e43f}</author>
    <author>tc={646dc35c-bada-4aea-b15e-cfb4e73734ae}</author>
    <author>tc={881f5f16-4f3b-4798-9caa-cee24c3e0dd8}</author>
    <author>tc={97e6087b-4f7c-4ca9-bce2-4b37d4f19b38}</author>
  </authors>
  <commentList>
    <comment authorId="0" xr:uid="{1225d949-4c37-4988-80ed-1c4f241fe1f2}" ref="A38">
      <text>
        <t xml:space="preserve">[Threaded comment]
 Your version of Excel allows you to read this threaded comment; however, any edits to it will get removed if the file is opened in a newer version of Excel. Learn more: https://go.microsoft.com/fwlink/?linkid=870924
Comment:
	hàng chứa trong Tank có Orange, nếu lượng Orange nhiều quá số lượng 4 Tank sẽ chuyển sang chứa trong các IBC
</t>
      </text>
    </comment>
    <comment authorId="1" xr:uid="{4d0cb8d0-fdb8-4acc-9174-e0baa689e43f}" ref="D16">
      <text>
        <t xml:space="preserve">[Threaded comment]
 Your version of Excel allows you to read this threaded comment; however, any edits to it will get removed if the file is opened in a newer version of Excel. Learn more: https://go.microsoft.com/fwlink/?linkid=870924
Comment:
	phòng trường hợp max need cao hơn của kho thì dẫn đến chi phí overflow xuất hiện
</t>
      </text>
    </comment>
    <comment authorId="2" xr:uid="{646dc35c-bada-4aea-b15e-cfb4e73734ae}" ref="A13">
      <text>
        <t xml:space="preserve">[Threaded comment]
 Your version of Excel allows you to read this threaded comment; however, any edits to it will get removed if the file is opened in a newer version of Excel. Learn more: https://go.microsoft.com/fwlink/?linkid=870924
Comment:
	PET đang có safety stock trung bình dao động từ 2,4 đến 2,6 week.
Do PET đã thay đổi nhà cung cấp có lead time ngắn hơn và uy tín hơn nên có thể giảm Safety Stock xuống 1 - 1,5 Week
</t>
      </text>
    </comment>
    <comment authorId="3" xr:uid="{881f5f16-4f3b-4798-9caa-cee24c3e0dd8}" ref="A36">
      <text>
        <t xml:space="preserve">[Threaded comment]
 Your version of Excel allows you to read this threaded comment; however, any edits to it will get removed if the file is opened in a newer version of Excel. Learn more: https://go.microsoft.com/fwlink/?linkid=870924
Comment:
	IBC và Drum đều sẽ được sắp xếp trên các Pallet
</t>
      </text>
    </comment>
    <comment authorId="4" xr:uid="{97e6087b-4f7c-4ca9-bce2-4b37d4f19b38}" ref="B14">
      <text>
        <t xml:space="preserve">[Threaded comment]
 Your version of Excel allows you to read this threaded comment; however, any edits to it will get removed if the file is opened in a newer version of Excel. Learn more: https://go.microsoft.com/fwlink/?linkid=870924
Comment:
	PET chiếm rất nhiều Pallet ( tồn kho PET nhiều dẫn đến kho inbound bị đầy)
</t>
      </text>
    </comment>
  </commentList>
</comments>
</file>

<file path=xl/sharedStrings.xml><?xml version="1.0" encoding="utf-8"?>
<sst xmlns="http://schemas.openxmlformats.org/spreadsheetml/2006/main" count="607" uniqueCount="312">
  <si>
    <t>ROUND</t>
  </si>
  <si>
    <t>ROI</t>
  </si>
  <si>
    <t>Realized revenue</t>
  </si>
  <si>
    <t xml:space="preserve">     Contracted sales revenue</t>
  </si>
  <si>
    <t xml:space="preserve"> All-Round</t>
  </si>
  <si>
    <t>Domus</t>
  </si>
  <si>
    <t>Tecco</t>
  </si>
  <si>
    <t xml:space="preserve">     Bonus or penalties</t>
  </si>
  <si>
    <t>All-Round</t>
  </si>
  <si>
    <t>Gross Margin</t>
  </si>
  <si>
    <t>COGS</t>
  </si>
  <si>
    <t xml:space="preserve">     Purchase Value</t>
  </si>
  <si>
    <t>Vredenburgh</t>
  </si>
  <si>
    <t>J. d'Arc PET</t>
  </si>
  <si>
    <t>Corcovado Oranges</t>
  </si>
  <si>
    <t>Ouagadougou Fruits</t>
  </si>
  <si>
    <t>Kão Yã Vitamins</t>
  </si>
  <si>
    <t xml:space="preserve">     Production Costs</t>
  </si>
  <si>
    <t>Bottling lines fixed costs</t>
  </si>
  <si>
    <t>Permanent employees</t>
  </si>
  <si>
    <t>Flexible manpower</t>
  </si>
  <si>
    <t>Outsourcing</t>
  </si>
  <si>
    <t>Mixer fixed costs</t>
  </si>
  <si>
    <t>Mixer variable costs</t>
  </si>
  <si>
    <t>Operating profit</t>
  </si>
  <si>
    <t>Indirect Cost</t>
  </si>
  <si>
    <t xml:space="preserve">     Overhead Costs</t>
  </si>
  <si>
    <t>Energy</t>
  </si>
  <si>
    <t>Water</t>
  </si>
  <si>
    <t>Other</t>
  </si>
  <si>
    <t xml:space="preserve">     Stock Costs</t>
  </si>
  <si>
    <t xml:space="preserve">          Interest on stock value</t>
  </si>
  <si>
    <t>Interest components</t>
  </si>
  <si>
    <t>Interest products</t>
  </si>
  <si>
    <t xml:space="preserve">          Space</t>
  </si>
  <si>
    <t>Pallet locations raw materials warehouse</t>
  </si>
  <si>
    <t>Overflow raw materials warehouse</t>
  </si>
  <si>
    <t>Tank yard</t>
  </si>
  <si>
    <t>Pallet locations finished goods warehouse</t>
  </si>
  <si>
    <t xml:space="preserve">          Risk</t>
  </si>
  <si>
    <t>Costs of scrap</t>
  </si>
  <si>
    <t xml:space="preserve">     Handling Costs</t>
  </si>
  <si>
    <t xml:space="preserve">          Inbound Handling</t>
  </si>
  <si>
    <t>Inbound permanent employees</t>
  </si>
  <si>
    <t>Inbound flexible manpower</t>
  </si>
  <si>
    <t>Raw materials inspection</t>
  </si>
  <si>
    <t xml:space="preserve">          Outbound Handling</t>
  </si>
  <si>
    <t>Outbound permanent employees</t>
  </si>
  <si>
    <t>Outbound flexible manpower</t>
  </si>
  <si>
    <t xml:space="preserve">     Administration Costs</t>
  </si>
  <si>
    <t xml:space="preserve">          Inbound</t>
  </si>
  <si>
    <t>Inbound order lines</t>
  </si>
  <si>
    <t>Inbound orders</t>
  </si>
  <si>
    <t>Contracted suppliers</t>
  </si>
  <si>
    <t xml:space="preserve">          Outbound</t>
  </si>
  <si>
    <t>Outbound order lines</t>
  </si>
  <si>
    <t>Outbound orders</t>
  </si>
  <si>
    <t xml:space="preserve">     Distribution Costs</t>
  </si>
  <si>
    <t xml:space="preserve">     Project Costs</t>
  </si>
  <si>
    <t>Solve breakdowns training</t>
  </si>
  <si>
    <t>SMED</t>
  </si>
  <si>
    <t>Increase speed</t>
  </si>
  <si>
    <t xml:space="preserve">     Interest</t>
  </si>
  <si>
    <t>Investment</t>
  </si>
  <si>
    <t xml:space="preserve">     Fixed</t>
  </si>
  <si>
    <t xml:space="preserve">     Stock</t>
  </si>
  <si>
    <t xml:space="preserve">     Machines</t>
  </si>
  <si>
    <t xml:space="preserve">     Payment terms</t>
  </si>
  <si>
    <t>COMPONENT</t>
  </si>
  <si>
    <t>FINISHED GOOD</t>
  </si>
  <si>
    <t>BOTTLING</t>
  </si>
  <si>
    <t xml:space="preserve">MIXING </t>
  </si>
  <si>
    <t>FG SKU</t>
  </si>
  <si>
    <t>Pack 1L</t>
  </si>
  <si>
    <t>PET</t>
  </si>
  <si>
    <t>Orange</t>
  </si>
  <si>
    <t>Mango</t>
  </si>
  <si>
    <t>Vitamin C</t>
  </si>
  <si>
    <t>Type of Container</t>
  </si>
  <si>
    <t>Shelf life in weeks</t>
  </si>
  <si>
    <t>Number per outer box</t>
  </si>
  <si>
    <t>Number per pallet layer</t>
  </si>
  <si>
    <t>Number per pallet</t>
  </si>
  <si>
    <t>Liters per pack</t>
  </si>
  <si>
    <t>Sales price (retail)</t>
  </si>
  <si>
    <t>Bottling type line</t>
  </si>
  <si>
    <t>Swiss fill 1</t>
  </si>
  <si>
    <t>Top speed 1</t>
  </si>
  <si>
    <t>Multi Flex 1</t>
  </si>
  <si>
    <t xml:space="preserve">Number of shifts </t>
  </si>
  <si>
    <t>Working hours</t>
  </si>
  <si>
    <t>Mixer type</t>
  </si>
  <si>
    <t>Fruitmix MQ</t>
  </si>
  <si>
    <t>Megachum 20</t>
  </si>
  <si>
    <t>FMM 4000</t>
  </si>
  <si>
    <t>Fressie Orange 1 liter</t>
  </si>
  <si>
    <t>Capacity (liters per hour)</t>
  </si>
  <si>
    <t>Technical batch minimum (in litters)</t>
  </si>
  <si>
    <t>Fressie Orange/Mango 1 liter</t>
  </si>
  <si>
    <t>Number of Operators</t>
  </si>
  <si>
    <t>Maximum lot size (in litters)</t>
  </si>
  <si>
    <t>Fressie Orange/Mango+C 1L</t>
  </si>
  <si>
    <t>_x0008_Operators cost per annum</t>
  </si>
  <si>
    <t>Yearly cost</t>
  </si>
  <si>
    <t>Fressie Orange PET</t>
  </si>
  <si>
    <t>Costs flexible per hour</t>
  </si>
  <si>
    <t>Mixer costs per hour</t>
  </si>
  <si>
    <t>Fressie Orange/C-power PET</t>
  </si>
  <si>
    <t>Costs per annum</t>
  </si>
  <si>
    <t>Fressie Orange/Mango PET</t>
  </si>
  <si>
    <t xml:space="preserve">
Investment</t>
  </si>
  <si>
    <t>Run time per batch (in hours)</t>
  </si>
  <si>
    <t>Formular changeover time (in hours)</t>
  </si>
  <si>
    <t>Cleanning time (in hours)</t>
  </si>
  <si>
    <t>CPT SKU</t>
  </si>
  <si>
    <t>Pallet layer content</t>
  </si>
  <si>
    <t>Pallet content</t>
  </si>
  <si>
    <t>Basic price</t>
  </si>
  <si>
    <t>Size changeover time (in hours)</t>
  </si>
  <si>
    <t>Minimum batch per date</t>
  </si>
  <si>
    <t>-</t>
  </si>
  <si>
    <t>Tolerances</t>
  </si>
  <si>
    <t>_x0008_Middle</t>
  </si>
  <si>
    <t>Narrow</t>
  </si>
  <si>
    <t xml:space="preserve">Wide </t>
  </si>
  <si>
    <t>Maximum batch per date</t>
  </si>
  <si>
    <t>_x0008_Start up productivity loss</t>
  </si>
  <si>
    <t>_x0008_CONTAINER</t>
  </si>
  <si>
    <t>Liter</t>
  </si>
  <si>
    <t>Content drum (liter)</t>
  </si>
  <si>
    <t>Content IBC (liter)</t>
  </si>
  <si>
    <t>Content tank truck (liter)</t>
  </si>
  <si>
    <t>Pallets per FTL</t>
  </si>
  <si>
    <t>ROUND 1</t>
  </si>
  <si>
    <t>DEMAND</t>
  </si>
  <si>
    <t>Pack</t>
  </si>
  <si>
    <t>ROUND 2</t>
  </si>
  <si>
    <t>ROUND 3</t>
  </si>
  <si>
    <t>ROUND 4</t>
  </si>
  <si>
    <t>ROUND 5</t>
  </si>
  <si>
    <t>Predict</t>
  </si>
  <si>
    <t>?</t>
  </si>
  <si>
    <t>INBOUND TUTORIAL</t>
  </si>
  <si>
    <t>Fomular: Average Palet Localtion = (Qmin + Qmax)/2 = Safety Stock + Order Size/2</t>
  </si>
  <si>
    <t>Mark-up 37%</t>
  </si>
  <si>
    <t>Demand (pcs)</t>
  </si>
  <si>
    <t>% Obsolete</t>
  </si>
  <si>
    <t>Total demand</t>
  </si>
  <si>
    <t>Safety Stock (Week)</t>
  </si>
  <si>
    <t>Lot Size (Week)</t>
  </si>
  <si>
    <t>Projection Order size - Lot size (Week)</t>
  </si>
  <si>
    <t>Purchases</t>
  </si>
  <si>
    <t>Safety Stock (pcs)</t>
  </si>
  <si>
    <t>Order Size (pcs)</t>
  </si>
  <si>
    <t>_x0008_Average Demand (pcs)</t>
  </si>
  <si>
    <t>Total CPT Demand</t>
  </si>
  <si>
    <t>Demand per Week (pcs)</t>
  </si>
  <si>
    <t>Projection Order size (Week)</t>
  </si>
  <si>
    <t>Average Demand (pcs)</t>
  </si>
  <si>
    <t>Pallet location</t>
  </si>
  <si>
    <t>MAX PALLET LOCATION</t>
  </si>
  <si>
    <t>Pallet Location</t>
  </si>
  <si>
    <t>Tank</t>
  </si>
  <si>
    <t>Trade Unit Tank</t>
  </si>
  <si>
    <t>Average Need</t>
  </si>
  <si>
    <t>Tolerance (20%)</t>
  </si>
  <si>
    <t>Max Need</t>
  </si>
  <si>
    <t>Tính lot size ( đây là theo week thực tế )</t>
  </si>
  <si>
    <t>IBCs</t>
  </si>
  <si>
    <t>Total Pallet Location</t>
  </si>
  <si>
    <t>Drums</t>
  </si>
  <si>
    <t>Orange (liter)</t>
  </si>
  <si>
    <t>Mango (liter)</t>
  </si>
  <si>
    <t>Vitamin C (liter)</t>
  </si>
  <si>
    <t>Demand (liter)</t>
  </si>
  <si>
    <t>Safety Stock (liter)</t>
  </si>
  <si>
    <t>Order Size (liter)</t>
  </si>
  <si>
    <t>_x0008_Average Demand (liter)</t>
  </si>
  <si>
    <t>Container</t>
  </si>
  <si>
    <t xml:space="preserve">Tank/Drum/IBC content </t>
  </si>
  <si>
    <t>Tank/Drum/IBC location</t>
  </si>
  <si>
    <t>Max Tank/Drum/IBC location</t>
  </si>
  <si>
    <t>Number of Tanks</t>
  </si>
  <si>
    <t>Number of Pallets</t>
  </si>
  <si>
    <t>Cái Lot Size (Week) ở đây hình như phải tính là moq ( lot size trong TFC ) / demand theo week</t>
  </si>
  <si>
    <t>Total Number of Tank</t>
  </si>
  <si>
    <t>Total Number of IBC</t>
  </si>
  <si>
    <t>Total Number of Drum</t>
  </si>
  <si>
    <t>Overflow IBC</t>
  </si>
  <si>
    <t>Total Pallet</t>
  </si>
  <si>
    <t>Total Pallet Max</t>
  </si>
  <si>
    <t>Total Tank</t>
  </si>
  <si>
    <t>Total Tank Max</t>
  </si>
  <si>
    <t>%CU of Pallets</t>
  </si>
  <si>
    <t>%CU of Pallets Max</t>
  </si>
  <si>
    <t>%CU of Tanks</t>
  </si>
  <si>
    <t>%CU of Tanks Max</t>
  </si>
  <si>
    <t>Average Working hours per week</t>
  </si>
  <si>
    <t>Working hours for 1 FTE per week</t>
  </si>
  <si>
    <t>FTE</t>
  </si>
  <si>
    <t>Total Number of FTE</t>
  </si>
  <si>
    <t>MIXING MACHINE</t>
  </si>
  <si>
    <t>lít/h</t>
  </si>
  <si>
    <t>Min</t>
  </si>
  <si>
    <t>Max</t>
  </si>
  <si>
    <t>Mixer available</t>
  </si>
  <si>
    <t xml:space="preserve">Decision </t>
  </si>
  <si>
    <t>Mixer</t>
  </si>
  <si>
    <t>Minimum batch</t>
  </si>
  <si>
    <t>Maximum batch</t>
  </si>
  <si>
    <t>Technical Capacity</t>
  </si>
  <si>
    <t>Maximum Capacity</t>
  </si>
  <si>
    <t>Cleanning time (%)</t>
  </si>
  <si>
    <t>Operation time (%)</t>
  </si>
  <si>
    <t>Cleanning time (hour)</t>
  </si>
  <si>
    <t>Operation time (hour)</t>
  </si>
  <si>
    <t>Master Production Schedule</t>
  </si>
  <si>
    <t>Interval Production</t>
  </si>
  <si>
    <t>Batch</t>
  </si>
  <si>
    <t>Q Production (pcs)</t>
  </si>
  <si>
    <t>Adherence</t>
  </si>
  <si>
    <t>Q Production (litter)</t>
  </si>
  <si>
    <t>W1</t>
  </si>
  <si>
    <t>W2</t>
  </si>
  <si>
    <t>W3</t>
  </si>
  <si>
    <t>W4</t>
  </si>
  <si>
    <t>W5</t>
  </si>
  <si>
    <t>W6</t>
  </si>
  <si>
    <t>W7</t>
  </si>
  <si>
    <t>W8</t>
  </si>
  <si>
    <t>W9</t>
  </si>
  <si>
    <t>W10</t>
  </si>
  <si>
    <t>W11</t>
  </si>
  <si>
    <t>W12</t>
  </si>
  <si>
    <t>W13</t>
  </si>
  <si>
    <t>W14</t>
  </si>
  <si>
    <t>W15</t>
  </si>
  <si>
    <t>W16</t>
  </si>
  <si>
    <t>W17</t>
  </si>
  <si>
    <t>W18</t>
  </si>
  <si>
    <t>W19</t>
  </si>
  <si>
    <t>W20</t>
  </si>
  <si>
    <t>W21</t>
  </si>
  <si>
    <t>W22</t>
  </si>
  <si>
    <t>W23</t>
  </si>
  <si>
    <t>W24</t>
  </si>
  <si>
    <t>W25</t>
  </si>
  <si>
    <t>W26</t>
  </si>
  <si>
    <t>Grand Total</t>
  </si>
  <si>
    <t>Total production</t>
  </si>
  <si>
    <t>Capacity (Min)</t>
  </si>
  <si>
    <t>Capacity (Max)</t>
  </si>
  <si>
    <t>GAP</t>
  </si>
  <si>
    <t xml:space="preserve">Utilization </t>
  </si>
  <si>
    <t xml:space="preserve">  </t>
  </si>
  <si>
    <t>shift</t>
  </si>
  <si>
    <t>Line settings</t>
  </si>
  <si>
    <t>swiss fill</t>
  </si>
  <si>
    <t>top speed 1</t>
  </si>
  <si>
    <t>multi flex</t>
  </si>
  <si>
    <t>sswissfill</t>
  </si>
  <si>
    <t xml:space="preserve">Bottling line </t>
  </si>
  <si>
    <t>increase speed</t>
  </si>
  <si>
    <t>no</t>
  </si>
  <si>
    <t>No</t>
  </si>
  <si>
    <t>Nominal Working hour per week</t>
  </si>
  <si>
    <t>Changeover time (Hour)</t>
  </si>
  <si>
    <t>Breakdown time (Hour)</t>
  </si>
  <si>
    <t>Actual Working hour per week</t>
  </si>
  <si>
    <t>Start up productivity loss</t>
  </si>
  <si>
    <t>Actual Capacity Weekly (litter)</t>
  </si>
  <si>
    <t>In normal</t>
  </si>
  <si>
    <t xml:space="preserve">SMED action </t>
  </si>
  <si>
    <t>Yes</t>
  </si>
  <si>
    <t>Volume</t>
  </si>
  <si>
    <t>_x0008_Master Production Schedule</t>
  </si>
  <si>
    <t>Demand forecast (pcs)</t>
  </si>
  <si>
    <t>Batch size (pcs)</t>
  </si>
  <si>
    <t>Start-up loss</t>
  </si>
  <si>
    <t>Total production (Usage)</t>
  </si>
  <si>
    <t>Capacity</t>
  </si>
  <si>
    <t>Utilization (%CU)</t>
  </si>
  <si>
    <t>OUTBOUND TUTORIAL</t>
  </si>
  <si>
    <t>Demand/week (pcs)</t>
  </si>
  <si>
    <t>Production Interval (Day)</t>
  </si>
  <si>
    <t>%Obsolete</t>
  </si>
  <si>
    <t>Batch Size - Production Interval (pcs)</t>
  </si>
  <si>
    <t>Average stock (pcs)</t>
  </si>
  <si>
    <t>Lead-time</t>
  </si>
  <si>
    <t>2 weeks</t>
  </si>
  <si>
    <t>Lotsize</t>
  </si>
  <si>
    <t>2 tanks=60000lit</t>
  </si>
  <si>
    <t>week</t>
  </si>
  <si>
    <t>1 lần order min là 30000</t>
  </si>
  <si>
    <t>SS</t>
  </si>
  <si>
    <t>Average Inventory</t>
  </si>
  <si>
    <t>SS+LS/2</t>
  </si>
  <si>
    <t>Average Inventory = Place order</t>
  </si>
  <si>
    <t>lotsize = số lượng định đặt ( mấy lotsize, như bên trên moq là 30000 liter ) / demand fc</t>
  </si>
  <si>
    <t>Orange (Litter)</t>
  </si>
  <si>
    <t>Demand FC (Gross requirement)</t>
  </si>
  <si>
    <t>Current stock/ Opening stock (Assumption: Opening stock W1=average inv)</t>
  </si>
  <si>
    <t>Stock development (Closing stock)</t>
  </si>
  <si>
    <t>Safety stock</t>
  </si>
  <si>
    <t>Requirement new order (Net requirement) when closing stock &lt; safety stock</t>
  </si>
  <si>
    <t>Place order</t>
  </si>
  <si>
    <t>Tank requirement</t>
  </si>
  <si>
    <t>Demand FC</t>
  </si>
  <si>
    <t>Current stock/ Opening stock</t>
  </si>
  <si>
    <t>Stock development</t>
  </si>
  <si>
    <t>Requirement new order</t>
  </si>
  <si>
    <t>Kiểu như này</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</si>
</sst>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0"/>
    <numFmt numFmtId="165" formatCode="0.000000"/>
    <numFmt numFmtId="166" formatCode="#,##0.0_);\(#,##0.0\)"/>
    <numFmt numFmtId="167" formatCode="#,##0.000_);\(#,##0.000\)"/>
    <numFmt numFmtId="168" formatCode="_(* #,##0.0_);_(* \(#,##0.0\);_(* &quot;-&quot;??_);_(@_)"/>
    <numFmt numFmtId="169" formatCode="_(* #,##0_);_(* \(#,##0\);_(* &quot;-&quot;??_);_(@_)"/>
    <numFmt numFmtId="170" formatCode="_(* #,##0.00_);_(* \(#,##0.00\);_(* &quot;-&quot;??_);_(@_)"/>
    <numFmt numFmtId="171" formatCode="0.0%"/>
  </numFmts>
  <fonts count="32">
    <font>
      <sz val="10.0"/>
      <color rgb="FF000000"/>
      <name val="Arial"/>
      <scheme val="minor"/>
    </font>
    <font>
      <b/>
      <sz val="15.0"/>
      <color theme="1"/>
      <name val="Times New Roman"/>
    </font>
    <font/>
    <font>
      <sz val="13.0"/>
      <color theme="1"/>
      <name val="Times New Roman"/>
    </font>
    <font>
      <sz val="15.0"/>
      <color theme="1"/>
      <name val="Times New Roman"/>
    </font>
    <font>
      <b/>
      <sz val="13.0"/>
      <color theme="1"/>
      <name val="Times New Roman"/>
    </font>
    <font>
      <b/>
      <i/>
      <sz val="13.0"/>
      <color theme="1"/>
      <name val="Times New Roman"/>
    </font>
    <font>
      <i/>
      <sz val="13.0"/>
      <color theme="1"/>
      <name val="Times New Roman"/>
    </font>
    <font>
      <b/>
      <sz val="12.0"/>
      <color rgb="FF000000"/>
      <name val="Calibri"/>
    </font>
    <font>
      <sz val="12.0"/>
      <color theme="1"/>
      <name val="Calibri"/>
    </font>
    <font>
      <b/>
      <sz val="12.0"/>
      <color theme="1"/>
      <name val="Calibri"/>
    </font>
    <font>
      <sz val="12.0"/>
      <color rgb="FF000000"/>
      <name val="Calibri"/>
    </font>
    <font>
      <sz val="8.0"/>
      <color rgb="FF000000"/>
      <name val="Arial"/>
    </font>
    <font>
      <b/>
      <sz val="8.0"/>
      <color rgb="FF000000"/>
      <name val="Arial"/>
    </font>
    <font>
      <color theme="1"/>
      <name val="Arial"/>
      <scheme val="minor"/>
    </font>
    <font>
      <color rgb="FF454749"/>
      <name val="Ubuntu"/>
    </font>
    <font>
      <b/>
      <color theme="1"/>
      <name val="Arial"/>
      <scheme val="minor"/>
    </font>
    <font>
      <b/>
      <sz val="18.0"/>
      <color rgb="FFFFFFFF"/>
      <name val="Arial"/>
    </font>
    <font>
      <i/>
      <sz val="10.0"/>
      <color theme="1"/>
      <name val="Arial"/>
    </font>
    <font>
      <sz val="10.0"/>
      <color theme="1"/>
      <name val="Arial"/>
    </font>
    <font>
      <b/>
      <sz val="12.0"/>
      <color rgb="FFFFFFFF"/>
      <name val="Calibri"/>
    </font>
    <font>
      <b/>
      <sz val="10.0"/>
      <color rgb="FF980000"/>
      <name val="Arial"/>
    </font>
    <font>
      <sz val="10.0"/>
      <color rgb="FF000000"/>
      <name val="Arial"/>
    </font>
    <font>
      <b/>
      <sz val="10.0"/>
      <color theme="1"/>
      <name val="Arial"/>
    </font>
    <font>
      <b/>
      <sz val="10.0"/>
      <color rgb="FF000000"/>
      <name val="Arial"/>
    </font>
    <font>
      <i/>
      <sz val="12.0"/>
      <color rgb="FF000000"/>
      <name val="Calibri"/>
    </font>
    <font>
      <b/>
      <sz val="10.0"/>
      <color rgb="FFFFFFFF"/>
      <name val="Arial"/>
    </font>
    <font>
      <b/>
      <sz val="14.0"/>
      <color rgb="FFFFFFFF"/>
      <name val="Arial"/>
    </font>
    <font>
      <b/>
      <i/>
      <sz val="10.0"/>
      <color rgb="FFFF0000"/>
      <name val="Arial"/>
    </font>
    <font>
      <i/>
      <sz val="10.0"/>
      <color rgb="FFFF0000"/>
      <name val="Arial"/>
    </font>
    <font>
      <b/>
      <i/>
      <sz val="10.0"/>
      <color theme="1"/>
      <name val="Arial"/>
    </font>
    <font>
      <b/>
      <sz val="13.0"/>
      <color rgb="FF000000"/>
      <name val="Calibri"/>
    </font>
  </fonts>
  <fills count="19">
    <fill>
      <patternFill patternType="none"/>
    </fill>
    <fill>
      <patternFill patternType="lightGray"/>
    </fill>
    <fill>
      <patternFill patternType="solid">
        <fgColor rgb="FF00FFFF"/>
        <bgColor rgb="FF00FFFF"/>
      </patternFill>
    </fill>
    <fill>
      <patternFill patternType="solid">
        <fgColor rgb="FFFEEA6A"/>
        <bgColor rgb="FFFEEA6A"/>
      </patternFill>
    </fill>
    <fill>
      <patternFill patternType="solid">
        <fgColor rgb="FFFFFFFF"/>
        <bgColor rgb="FFFFFFFF"/>
      </patternFill>
    </fill>
    <fill>
      <patternFill patternType="solid">
        <fgColor rgb="FFEBF1F7"/>
        <bgColor rgb="FFEBF1F7"/>
      </patternFill>
    </fill>
    <fill>
      <patternFill patternType="solid">
        <fgColor rgb="FFE69138"/>
        <bgColor rgb="FFE69138"/>
      </patternFill>
    </fill>
    <fill>
      <patternFill patternType="solid">
        <fgColor rgb="FF434343"/>
        <bgColor rgb="FF434343"/>
      </patternFill>
    </fill>
    <fill>
      <patternFill patternType="solid">
        <fgColor rgb="FFFFFF00"/>
        <bgColor rgb="FFFFFF00"/>
      </patternFill>
    </fill>
    <fill>
      <patternFill patternType="solid">
        <fgColor rgb="FF980000"/>
        <bgColor rgb="FF980000"/>
      </patternFill>
    </fill>
    <fill>
      <patternFill patternType="solid">
        <fgColor rgb="FFFCD668"/>
        <bgColor rgb="FFFCD668"/>
      </patternFill>
    </fill>
    <fill>
      <patternFill patternType="solid">
        <fgColor rgb="FFB45F06"/>
        <bgColor rgb="FFB45F06"/>
      </patternFill>
    </fill>
    <fill>
      <patternFill patternType="solid">
        <fgColor rgb="FFFCE5CD"/>
        <bgColor rgb="FFFCE5CD"/>
      </patternFill>
    </fill>
    <fill>
      <patternFill patternType="solid">
        <fgColor rgb="FFC05100"/>
        <bgColor rgb="FFC05100"/>
      </patternFill>
    </fill>
    <fill>
      <patternFill patternType="solid">
        <fgColor rgb="FF6AA84F"/>
        <bgColor rgb="FF6AA84F"/>
      </patternFill>
    </fill>
    <fill>
      <patternFill patternType="solid">
        <fgColor rgb="FFF6B3AE"/>
        <bgColor rgb="FFF6B3AE"/>
      </patternFill>
    </fill>
    <fill>
      <patternFill patternType="solid">
        <fgColor theme="0"/>
        <bgColor theme="0"/>
      </patternFill>
    </fill>
    <fill>
      <patternFill patternType="solid">
        <fgColor rgb="FFFFC499"/>
        <bgColor rgb="FFFFC499"/>
      </patternFill>
    </fill>
    <fill>
      <patternFill patternType="solid">
        <fgColor rgb="FFD2F1DA"/>
        <bgColor rgb="FFD2F1DA"/>
      </patternFill>
    </fill>
  </fills>
  <borders count="2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bottom/>
    </border>
    <border>
      <top/>
      <bottom/>
    </border>
    <border>
      <right/>
      <top/>
      <bottom/>
    </border>
    <border>
      <left/>
      <right/>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top style="thin">
        <color rgb="FF000000"/>
      </top>
      <bottom/>
    </border>
    <border>
      <left style="medium">
        <color rgb="FF000000"/>
      </left>
      <top style="medium">
        <color rgb="FF000000"/>
      </top>
    </border>
    <border>
      <top style="medium">
        <color rgb="FF000000"/>
      </top>
    </border>
    <border>
      <left/>
      <right style="medium">
        <color rgb="FF000000"/>
      </right>
      <top style="medium">
        <color rgb="FF000000"/>
      </top>
      <bottom/>
    </border>
    <border>
      <left style="medium">
        <color rgb="FF000000"/>
      </left>
    </border>
    <border>
      <left/>
      <right style="medium">
        <color rgb="FF000000"/>
      </right>
      <top/>
      <bottom/>
    </border>
    <border>
      <left style="medium">
        <color rgb="FF000000"/>
      </left>
      <bottom style="medium">
        <color rgb="FF000000"/>
      </bottom>
    </border>
    <border>
      <bottom style="medium">
        <color rgb="FF000000"/>
      </bottom>
    </border>
    <border>
      <left/>
      <right style="medium">
        <color rgb="FF000000"/>
      </right>
      <top/>
      <bottom style="medium">
        <color rgb="FF000000"/>
      </bottom>
    </border>
    <border>
      <left/>
      <top/>
      <bottom style="thin">
        <color rgb="FF000000"/>
      </bottom>
    </border>
    <border>
      <top/>
      <bottom style="thin">
        <color rgb="FF000000"/>
      </bottom>
    </border>
    <border>
      <right/>
      <top/>
      <bottom style="thin">
        <color rgb="FF000000"/>
      </bottom>
    </border>
  </borders>
  <cellStyleXfs count="1">
    <xf borderId="0" fillId="0" fontId="0" numFmtId="0" applyAlignment="1" applyFont="1"/>
  </cellStyleXfs>
  <cellXfs count="190">
    <xf borderId="0" fillId="0" fontId="0" numFmtId="0" xfId="0" applyAlignment="1" applyFont="1">
      <alignment readingOrder="0" shrinkToFit="0" vertical="bottom" wrapText="0"/>
    </xf>
    <xf borderId="1" fillId="0" fontId="1" numFmtId="0" xfId="0" applyAlignment="1" applyBorder="1" applyFont="1">
      <alignment horizontal="center" readingOrder="0"/>
    </xf>
    <xf borderId="1" fillId="0" fontId="1" numFmtId="0" xfId="0" applyAlignment="1" applyBorder="1" applyFont="1">
      <alignment horizontal="center"/>
    </xf>
    <xf borderId="2" fillId="0" fontId="1" numFmtId="0" xfId="0" applyAlignment="1" applyBorder="1" applyFont="1">
      <alignment horizontal="center"/>
    </xf>
    <xf borderId="3" fillId="0" fontId="2" numFmtId="0" xfId="0" applyBorder="1" applyFont="1"/>
    <xf borderId="4" fillId="0" fontId="2" numFmtId="0" xfId="0" applyBorder="1" applyFont="1"/>
    <xf borderId="0" fillId="0" fontId="3" numFmtId="0" xfId="0" applyFont="1"/>
    <xf borderId="1" fillId="0" fontId="4" numFmtId="10" xfId="0" applyAlignment="1" applyBorder="1" applyFont="1" applyNumberFormat="1">
      <alignment horizontal="center"/>
    </xf>
    <xf borderId="0" fillId="0" fontId="5" numFmtId="0" xfId="0" applyAlignment="1" applyFont="1">
      <alignment horizontal="center"/>
    </xf>
    <xf borderId="1" fillId="0" fontId="1" numFmtId="0" xfId="0" applyAlignment="1" applyBorder="1" applyFont="1">
      <alignment horizontal="center" vertical="center"/>
    </xf>
    <xf borderId="1" fillId="0" fontId="1" numFmtId="4" xfId="0" applyAlignment="1" applyBorder="1" applyFont="1" applyNumberFormat="1">
      <alignment horizontal="center" vertical="center"/>
    </xf>
    <xf borderId="1" fillId="0" fontId="6" numFmtId="0" xfId="0" applyAlignment="1" applyBorder="1" applyFont="1">
      <alignment horizontal="left" readingOrder="0"/>
    </xf>
    <xf borderId="1" fillId="0" fontId="6" numFmtId="4" xfId="0" applyAlignment="1" applyBorder="1" applyFont="1" applyNumberFormat="1">
      <alignment horizontal="right"/>
    </xf>
    <xf borderId="1" fillId="0" fontId="3" numFmtId="0" xfId="0" applyAlignment="1" applyBorder="1" applyFont="1">
      <alignment horizontal="center" readingOrder="0"/>
    </xf>
    <xf borderId="1" fillId="0" fontId="3" numFmtId="4" xfId="0" applyAlignment="1" applyBorder="1" applyFont="1" applyNumberFormat="1">
      <alignment horizontal="right"/>
    </xf>
    <xf borderId="1" fillId="0" fontId="6" numFmtId="0" xfId="0" applyAlignment="1" applyBorder="1" applyFont="1">
      <alignment readingOrder="0"/>
    </xf>
    <xf borderId="0" fillId="0" fontId="5" numFmtId="0" xfId="0" applyAlignment="1" applyFont="1">
      <alignment horizontal="center" readingOrder="0"/>
    </xf>
    <xf borderId="1" fillId="0" fontId="1" numFmtId="0" xfId="0" applyAlignment="1" applyBorder="1" applyFont="1">
      <alignment horizontal="center" readingOrder="0" vertical="center"/>
    </xf>
    <xf borderId="1" fillId="0" fontId="6" numFmtId="4" xfId="0" applyAlignment="1" applyBorder="1" applyFont="1" applyNumberFormat="1">
      <alignment horizontal="center"/>
    </xf>
    <xf borderId="1" fillId="0" fontId="3" numFmtId="4" xfId="0" applyBorder="1" applyFont="1" applyNumberFormat="1"/>
    <xf borderId="2" fillId="0" fontId="6" numFmtId="0" xfId="0" applyAlignment="1" applyBorder="1" applyFont="1">
      <alignment readingOrder="0"/>
    </xf>
    <xf borderId="3" fillId="0" fontId="6" numFmtId="0" xfId="0" applyAlignment="1" applyBorder="1" applyFont="1">
      <alignment readingOrder="0"/>
    </xf>
    <xf borderId="4" fillId="0" fontId="6" numFmtId="0" xfId="0" applyAlignment="1" applyBorder="1" applyFont="1">
      <alignment readingOrder="0"/>
    </xf>
    <xf borderId="1" fillId="0" fontId="7" numFmtId="0" xfId="0" applyAlignment="1" applyBorder="1" applyFont="1">
      <alignment readingOrder="0"/>
    </xf>
    <xf borderId="1" fillId="0" fontId="7" numFmtId="4" xfId="0" applyAlignment="1" applyBorder="1" applyFont="1" applyNumberFormat="1">
      <alignment horizontal="center"/>
    </xf>
    <xf borderId="1" fillId="0" fontId="6" numFmtId="4" xfId="0" applyBorder="1" applyFont="1" applyNumberFormat="1"/>
    <xf borderId="5" fillId="2" fontId="8" numFmtId="0" xfId="0" applyAlignment="1" applyBorder="1" applyFill="1" applyFont="1">
      <alignment horizontal="center"/>
    </xf>
    <xf borderId="6" fillId="0" fontId="2" numFmtId="0" xfId="0" applyBorder="1" applyFont="1"/>
    <xf borderId="7" fillId="0" fontId="2" numFmtId="0" xfId="0" applyBorder="1" applyFont="1"/>
    <xf borderId="8" fillId="2" fontId="8" numFmtId="0" xfId="0" applyAlignment="1" applyBorder="1" applyFont="1">
      <alignment horizontal="center"/>
    </xf>
    <xf borderId="0" fillId="0" fontId="9" numFmtId="0" xfId="0" applyFont="1"/>
    <xf borderId="5" fillId="2" fontId="10" numFmtId="0" xfId="0" applyAlignment="1" applyBorder="1" applyFont="1">
      <alignment horizontal="center"/>
    </xf>
    <xf borderId="0" fillId="0" fontId="8" numFmtId="0" xfId="0" applyAlignment="1" applyFont="1">
      <alignment horizontal="center"/>
    </xf>
    <xf borderId="1" fillId="3" fontId="8" numFmtId="0" xfId="0" applyAlignment="1" applyBorder="1" applyFill="1" applyFont="1">
      <alignment horizontal="center"/>
    </xf>
    <xf borderId="1" fillId="4" fontId="11" numFmtId="0" xfId="0" applyAlignment="1" applyBorder="1" applyFill="1" applyFont="1">
      <alignment horizontal="left"/>
    </xf>
    <xf borderId="1" fillId="4" fontId="11" numFmtId="0" xfId="0" applyAlignment="1" applyBorder="1" applyFont="1">
      <alignment horizontal="right"/>
    </xf>
    <xf borderId="1" fillId="0" fontId="9" numFmtId="0" xfId="0" applyBorder="1" applyFont="1"/>
    <xf borderId="1" fillId="0" fontId="9" numFmtId="37" xfId="0" applyBorder="1" applyFont="1" applyNumberFormat="1"/>
    <xf borderId="0" fillId="0" fontId="12" numFmtId="0" xfId="0" applyFont="1"/>
    <xf borderId="1" fillId="3" fontId="8" numFmtId="0" xfId="0" applyAlignment="1" applyBorder="1" applyFont="1">
      <alignment horizontal="center" shrinkToFit="0" wrapText="1"/>
    </xf>
    <xf borderId="0" fillId="0" fontId="9" numFmtId="0" xfId="0" applyAlignment="1" applyFont="1">
      <alignment shrinkToFit="0" wrapText="1"/>
    </xf>
    <xf borderId="0" fillId="0" fontId="13" numFmtId="0" xfId="0" applyFont="1"/>
    <xf borderId="1" fillId="0" fontId="9" numFmtId="37" xfId="0" applyAlignment="1" applyBorder="1" applyFont="1" applyNumberFormat="1">
      <alignment shrinkToFit="0" wrapText="1"/>
    </xf>
    <xf borderId="1" fillId="0" fontId="9" numFmtId="0" xfId="0" applyAlignment="1" applyBorder="1" applyFont="1">
      <alignment shrinkToFit="0" wrapText="1"/>
    </xf>
    <xf borderId="1" fillId="4" fontId="11" numFmtId="3" xfId="0" applyAlignment="1" applyBorder="1" applyFont="1" applyNumberFormat="1">
      <alignment horizontal="right"/>
    </xf>
    <xf borderId="1" fillId="0" fontId="9" numFmtId="9" xfId="0" applyBorder="1" applyFont="1" applyNumberFormat="1"/>
    <xf borderId="9" fillId="4" fontId="14" numFmtId="0" xfId="0" applyAlignment="1" applyBorder="1" applyFont="1">
      <alignment horizontal="center" readingOrder="0" vertical="center"/>
    </xf>
    <xf borderId="1" fillId="4" fontId="14" numFmtId="0" xfId="0" applyBorder="1" applyFont="1"/>
    <xf borderId="1" fillId="4" fontId="15" numFmtId="0" xfId="0" applyAlignment="1" applyBorder="1" applyFont="1">
      <alignment horizontal="right" readingOrder="0"/>
    </xf>
    <xf borderId="1" fillId="0" fontId="16" numFmtId="0" xfId="0" applyAlignment="1" applyBorder="1" applyFont="1">
      <alignment horizontal="center" readingOrder="0"/>
    </xf>
    <xf borderId="10" fillId="0" fontId="2" numFmtId="0" xfId="0" applyBorder="1" applyFont="1"/>
    <xf borderId="0" fillId="4" fontId="14" numFmtId="0" xfId="0" applyFont="1"/>
    <xf borderId="1" fillId="0" fontId="14" numFmtId="0" xfId="0" applyAlignment="1" applyBorder="1" applyFont="1">
      <alignment readingOrder="0"/>
    </xf>
    <xf borderId="1" fillId="0" fontId="14" numFmtId="4" xfId="0" applyAlignment="1" applyBorder="1" applyFont="1" applyNumberFormat="1">
      <alignment readingOrder="0"/>
    </xf>
    <xf borderId="0" fillId="4" fontId="15" numFmtId="0" xfId="0" applyAlignment="1" applyFont="1">
      <alignment horizontal="right"/>
    </xf>
    <xf borderId="11" fillId="0" fontId="2" numFmtId="0" xfId="0" applyBorder="1" applyFont="1"/>
    <xf borderId="1" fillId="0" fontId="14" numFmtId="4" xfId="0" applyBorder="1" applyFont="1" applyNumberFormat="1"/>
    <xf borderId="1" fillId="4" fontId="14" numFmtId="37" xfId="0" applyBorder="1" applyFont="1" applyNumberFormat="1"/>
    <xf borderId="0" fillId="4" fontId="15" numFmtId="0" xfId="0" applyAlignment="1" applyFont="1">
      <alignment horizontal="right" readingOrder="0"/>
    </xf>
    <xf borderId="0" fillId="5" fontId="15" numFmtId="0" xfId="0" applyAlignment="1" applyFill="1" applyFont="1">
      <alignment horizontal="right" readingOrder="0"/>
    </xf>
    <xf borderId="0" fillId="0" fontId="14" numFmtId="0" xfId="0" applyAlignment="1" applyFont="1">
      <alignment horizontal="center" readingOrder="0"/>
    </xf>
    <xf borderId="0" fillId="0" fontId="14" numFmtId="37" xfId="0" applyFont="1" applyNumberFormat="1"/>
    <xf borderId="5" fillId="6" fontId="17" numFmtId="0" xfId="0" applyAlignment="1" applyBorder="1" applyFill="1" applyFont="1">
      <alignment horizontal="center"/>
    </xf>
    <xf borderId="0" fillId="0" fontId="18" numFmtId="0" xfId="0" applyFont="1"/>
    <xf borderId="0" fillId="0" fontId="19" numFmtId="0" xfId="0" applyFont="1"/>
    <xf borderId="0" fillId="0" fontId="18" numFmtId="0" xfId="0" applyAlignment="1" applyFont="1">
      <alignment horizontal="right"/>
    </xf>
    <xf borderId="0" fillId="0" fontId="18" numFmtId="0" xfId="0" applyAlignment="1" applyFont="1">
      <alignment horizontal="center"/>
    </xf>
    <xf borderId="1" fillId="7" fontId="20" numFmtId="0" xfId="0" applyAlignment="1" applyBorder="1" applyFill="1" applyFont="1">
      <alignment horizontal="center" shrinkToFit="0" vertical="center" wrapText="1"/>
    </xf>
    <xf borderId="12" fillId="7" fontId="20" numFmtId="0" xfId="0" applyAlignment="1" applyBorder="1" applyFont="1">
      <alignment horizontal="center" shrinkToFit="0" vertical="center" wrapText="1"/>
    </xf>
    <xf borderId="1" fillId="8" fontId="11" numFmtId="0" xfId="0" applyAlignment="1" applyBorder="1" applyFill="1" applyFont="1">
      <alignment horizontal="left"/>
    </xf>
    <xf borderId="1" fillId="8" fontId="21" numFmtId="37" xfId="0" applyBorder="1" applyFont="1" applyNumberFormat="1"/>
    <xf borderId="0" fillId="0" fontId="22" numFmtId="10" xfId="0" applyAlignment="1" applyFont="1" applyNumberFormat="1">
      <alignment readingOrder="0"/>
    </xf>
    <xf borderId="1" fillId="0" fontId="19" numFmtId="164" xfId="0" applyBorder="1" applyFont="1" applyNumberFormat="1"/>
    <xf borderId="1" fillId="8" fontId="21" numFmtId="0" xfId="0" applyAlignment="1" applyBorder="1" applyFont="1">
      <alignment readingOrder="0"/>
    </xf>
    <xf borderId="1" fillId="0" fontId="19" numFmtId="37" xfId="0" applyBorder="1" applyFont="1" applyNumberFormat="1"/>
    <xf borderId="1" fillId="8" fontId="21" numFmtId="0" xfId="0" applyBorder="1" applyFont="1"/>
    <xf borderId="2" fillId="7" fontId="20" numFmtId="0" xfId="0" applyAlignment="1" applyBorder="1" applyFont="1">
      <alignment horizontal="center" shrinkToFit="0" vertical="center" wrapText="1"/>
    </xf>
    <xf borderId="8" fillId="7" fontId="20" numFmtId="0" xfId="0" applyAlignment="1" applyBorder="1" applyFont="1">
      <alignment horizontal="center" readingOrder="0" shrinkToFit="0" vertical="center" wrapText="1"/>
    </xf>
    <xf borderId="0" fillId="7" fontId="20" numFmtId="0" xfId="0" applyAlignment="1" applyFont="1">
      <alignment horizontal="center" readingOrder="0" shrinkToFit="0" vertical="center" wrapText="1"/>
    </xf>
    <xf borderId="9" fillId="0" fontId="23" numFmtId="0" xfId="0" applyAlignment="1" applyBorder="1" applyFont="1">
      <alignment horizontal="center" vertical="center"/>
    </xf>
    <xf borderId="1" fillId="0" fontId="23" numFmtId="0" xfId="0" applyBorder="1" applyFont="1"/>
    <xf borderId="1" fillId="8" fontId="19" numFmtId="0" xfId="0" applyAlignment="1" applyBorder="1" applyFont="1">
      <alignment readingOrder="0"/>
    </xf>
    <xf borderId="0" fillId="0" fontId="19" numFmtId="37" xfId="0" applyFont="1" applyNumberFormat="1"/>
    <xf borderId="0" fillId="0" fontId="22" numFmtId="0" xfId="0" applyFont="1"/>
    <xf borderId="1" fillId="0" fontId="19" numFmtId="165" xfId="0" applyBorder="1" applyFont="1" applyNumberFormat="1"/>
    <xf borderId="0" fillId="0" fontId="19" numFmtId="0" xfId="0" applyAlignment="1" applyFont="1">
      <alignment readingOrder="0"/>
    </xf>
    <xf borderId="1" fillId="9" fontId="20" numFmtId="0" xfId="0" applyAlignment="1" applyBorder="1" applyFill="1" applyFont="1">
      <alignment horizontal="center" shrinkToFit="0" vertical="center" wrapText="1"/>
    </xf>
    <xf borderId="1" fillId="9" fontId="20" numFmtId="37" xfId="0" applyAlignment="1" applyBorder="1" applyFont="1" applyNumberFormat="1">
      <alignment horizontal="center" shrinkToFit="0" vertical="center" wrapText="1"/>
    </xf>
    <xf borderId="1" fillId="0" fontId="19" numFmtId="0" xfId="0" applyBorder="1" applyFont="1"/>
    <xf borderId="1" fillId="10" fontId="19" numFmtId="37" xfId="0" applyBorder="1" applyFill="1" applyFont="1" applyNumberFormat="1"/>
    <xf borderId="0" fillId="0" fontId="24" numFmtId="0" xfId="0" applyAlignment="1" applyFont="1">
      <alignment horizontal="center" vertical="center"/>
    </xf>
    <xf borderId="1" fillId="8" fontId="21" numFmtId="166" xfId="0" applyAlignment="1" applyBorder="1" applyFont="1" applyNumberFormat="1">
      <alignment readingOrder="0"/>
    </xf>
    <xf borderId="1" fillId="0" fontId="19" numFmtId="166" xfId="0" applyBorder="1" applyFont="1" applyNumberFormat="1"/>
    <xf borderId="1" fillId="4" fontId="11" numFmtId="0" xfId="0" applyAlignment="1" applyBorder="1" applyFont="1">
      <alignment horizontal="left" readingOrder="0"/>
    </xf>
    <xf borderId="1" fillId="0" fontId="19" numFmtId="3" xfId="0" applyBorder="1" applyFont="1" applyNumberFormat="1"/>
    <xf borderId="1" fillId="0" fontId="19" numFmtId="167" xfId="0" applyBorder="1" applyFont="1" applyNumberFormat="1"/>
    <xf borderId="8" fillId="8" fontId="18" numFmtId="0" xfId="0" applyAlignment="1" applyBorder="1" applyFont="1">
      <alignment horizontal="right"/>
    </xf>
    <xf borderId="8" fillId="8" fontId="18" numFmtId="0" xfId="0" applyAlignment="1" applyBorder="1" applyFont="1">
      <alignment horizontal="right" readingOrder="0"/>
    </xf>
    <xf borderId="1" fillId="9" fontId="20" numFmtId="168" xfId="0" applyAlignment="1" applyBorder="1" applyFont="1" applyNumberFormat="1">
      <alignment horizontal="center" shrinkToFit="0" vertical="center" wrapText="1"/>
    </xf>
    <xf borderId="1" fillId="9" fontId="20" numFmtId="166" xfId="0" applyAlignment="1" applyBorder="1" applyFont="1" applyNumberFormat="1">
      <alignment horizontal="center" shrinkToFit="0" vertical="center" wrapText="1"/>
    </xf>
    <xf borderId="8" fillId="9" fontId="20" numFmtId="0" xfId="0" applyAlignment="1" applyBorder="1" applyFont="1">
      <alignment horizontal="center" shrinkToFit="0" vertical="center" wrapText="1"/>
    </xf>
    <xf borderId="8" fillId="9" fontId="20" numFmtId="168" xfId="0" applyAlignment="1" applyBorder="1" applyFont="1" applyNumberFormat="1">
      <alignment horizontal="center" shrinkToFit="0" vertical="center" wrapText="1"/>
    </xf>
    <xf borderId="8" fillId="9" fontId="20" numFmtId="37" xfId="0" applyAlignment="1" applyBorder="1" applyFont="1" applyNumberFormat="1">
      <alignment horizontal="center" shrinkToFit="0" vertical="center" wrapText="1"/>
    </xf>
    <xf borderId="1" fillId="9" fontId="20" numFmtId="169" xfId="0" applyAlignment="1" applyBorder="1" applyFont="1" applyNumberFormat="1">
      <alignment horizontal="center" shrinkToFit="0" vertical="center" wrapText="1"/>
    </xf>
    <xf borderId="1" fillId="9" fontId="20" numFmtId="170" xfId="0" applyAlignment="1" applyBorder="1" applyFont="1" applyNumberFormat="1">
      <alignment horizontal="center" shrinkToFit="0" vertical="center" wrapText="1"/>
    </xf>
    <xf borderId="1" fillId="9" fontId="20" numFmtId="0" xfId="0" applyAlignment="1" applyBorder="1" applyFont="1">
      <alignment horizontal="center" readingOrder="0" shrinkToFit="0" vertical="center" wrapText="1"/>
    </xf>
    <xf borderId="1" fillId="9" fontId="20" numFmtId="10" xfId="0" applyAlignment="1" applyBorder="1" applyFont="1" applyNumberFormat="1">
      <alignment horizontal="center" shrinkToFit="0" vertical="center" wrapText="1"/>
    </xf>
    <xf borderId="0" fillId="0" fontId="23" numFmtId="0" xfId="0" applyAlignment="1" applyFont="1">
      <alignment horizontal="center" shrinkToFit="0" wrapText="1"/>
    </xf>
    <xf borderId="1" fillId="0" fontId="23" numFmtId="0" xfId="0" applyAlignment="1" applyBorder="1" applyFont="1">
      <alignment horizontal="center" shrinkToFit="0" wrapText="1"/>
    </xf>
    <xf borderId="1" fillId="8" fontId="19" numFmtId="0" xfId="0" applyBorder="1" applyFont="1"/>
    <xf borderId="8" fillId="6" fontId="17" numFmtId="0" xfId="0" applyAlignment="1" applyBorder="1" applyFont="1">
      <alignment horizontal="center"/>
    </xf>
    <xf borderId="0" fillId="0" fontId="19" numFmtId="0" xfId="0" applyAlignment="1" applyFont="1">
      <alignment horizontal="center" readingOrder="0"/>
    </xf>
    <xf borderId="1" fillId="4" fontId="25" numFmtId="0" xfId="0" applyAlignment="1" applyBorder="1" applyFont="1">
      <alignment horizontal="center" shrinkToFit="0" vertical="center" wrapText="1"/>
    </xf>
    <xf borderId="0" fillId="0" fontId="19" numFmtId="0" xfId="0" applyAlignment="1" applyFont="1">
      <alignment horizontal="center"/>
    </xf>
    <xf borderId="1" fillId="9" fontId="20" numFmtId="0" xfId="0" applyAlignment="1" applyBorder="1" applyFont="1">
      <alignment horizontal="left" shrinkToFit="0" vertical="center" wrapText="1"/>
    </xf>
    <xf borderId="1" fillId="9" fontId="26" numFmtId="0" xfId="0" applyAlignment="1" applyBorder="1" applyFont="1">
      <alignment horizontal="right" readingOrder="0"/>
    </xf>
    <xf borderId="13" fillId="7" fontId="20" numFmtId="0" xfId="0" applyAlignment="1" applyBorder="1" applyFont="1">
      <alignment horizontal="center" shrinkToFit="0" vertical="center" wrapText="1"/>
    </xf>
    <xf borderId="14" fillId="7" fontId="20" numFmtId="0" xfId="0" applyAlignment="1" applyBorder="1" applyFont="1">
      <alignment horizontal="center" shrinkToFit="0" vertical="center" wrapText="1"/>
    </xf>
    <xf borderId="8" fillId="7" fontId="20" numFmtId="0" xfId="0" applyAlignment="1" applyBorder="1" applyFont="1">
      <alignment horizontal="center" shrinkToFit="0" vertical="center" wrapText="1"/>
    </xf>
    <xf borderId="0" fillId="0" fontId="19" numFmtId="10" xfId="0" applyFont="1" applyNumberFormat="1"/>
    <xf borderId="5" fillId="11" fontId="27" numFmtId="0" xfId="0" applyAlignment="1" applyBorder="1" applyFill="1" applyFont="1">
      <alignment horizontal="center" readingOrder="0"/>
    </xf>
    <xf borderId="8" fillId="11" fontId="27" numFmtId="0" xfId="0" applyAlignment="1" applyBorder="1" applyFont="1">
      <alignment horizontal="center"/>
    </xf>
    <xf borderId="15" fillId="7" fontId="20" numFmtId="0" xfId="0" applyAlignment="1" applyBorder="1" applyFont="1">
      <alignment horizontal="center" shrinkToFit="0" vertical="center" wrapText="1"/>
    </xf>
    <xf borderId="15" fillId="12" fontId="23" numFmtId="0" xfId="0" applyAlignment="1" applyBorder="1" applyFill="1" applyFont="1">
      <alignment horizontal="center" vertical="center"/>
    </xf>
    <xf borderId="15" fillId="8" fontId="23" numFmtId="0" xfId="0" applyAlignment="1" applyBorder="1" applyFont="1">
      <alignment horizontal="center" vertical="center"/>
    </xf>
    <xf borderId="1" fillId="0" fontId="11" numFmtId="0" xfId="0" applyAlignment="1" applyBorder="1" applyFont="1">
      <alignment horizontal="left"/>
    </xf>
    <xf borderId="1" fillId="0" fontId="22" numFmtId="37" xfId="0" applyBorder="1" applyFont="1" applyNumberFormat="1"/>
    <xf borderId="1" fillId="0" fontId="19" numFmtId="9" xfId="0" applyBorder="1" applyFont="1" applyNumberFormat="1"/>
    <xf borderId="2" fillId="0" fontId="19" numFmtId="0" xfId="0" applyBorder="1" applyFont="1"/>
    <xf borderId="1" fillId="8" fontId="19" numFmtId="37" xfId="0" applyBorder="1" applyFont="1" applyNumberFormat="1"/>
    <xf borderId="1" fillId="0" fontId="28" numFmtId="0" xfId="0" applyBorder="1" applyFont="1"/>
    <xf borderId="1" fillId="0" fontId="29" numFmtId="37" xfId="0" applyBorder="1" applyFont="1" applyNumberFormat="1"/>
    <xf borderId="1" fillId="8" fontId="29" numFmtId="37" xfId="0" applyBorder="1" applyFont="1" applyNumberFormat="1"/>
    <xf borderId="0" fillId="0" fontId="23" numFmtId="0" xfId="0" applyFont="1"/>
    <xf borderId="8" fillId="8" fontId="19" numFmtId="0" xfId="0" applyBorder="1" applyFont="1"/>
    <xf borderId="16" fillId="0" fontId="23" numFmtId="0" xfId="0" applyBorder="1" applyFont="1"/>
    <xf borderId="17" fillId="0" fontId="19" numFmtId="37" xfId="0" applyBorder="1" applyFont="1" applyNumberFormat="1"/>
    <xf borderId="18" fillId="8" fontId="19" numFmtId="37" xfId="0" applyBorder="1" applyFont="1" applyNumberFormat="1"/>
    <xf borderId="19" fillId="0" fontId="23" numFmtId="0" xfId="0" applyBorder="1" applyFont="1"/>
    <xf borderId="20" fillId="8" fontId="19" numFmtId="37" xfId="0" applyBorder="1" applyFont="1" applyNumberFormat="1"/>
    <xf borderId="19" fillId="0" fontId="30" numFmtId="0" xfId="0" applyBorder="1" applyFont="1"/>
    <xf borderId="0" fillId="0" fontId="30" numFmtId="37" xfId="0" applyFont="1" applyNumberFormat="1"/>
    <xf borderId="20" fillId="8" fontId="30" numFmtId="37" xfId="0" applyBorder="1" applyFont="1" applyNumberFormat="1"/>
    <xf borderId="21" fillId="0" fontId="30" numFmtId="0" xfId="0" applyBorder="1" applyFont="1"/>
    <xf borderId="22" fillId="0" fontId="30" numFmtId="9" xfId="0" applyBorder="1" applyFont="1" applyNumberFormat="1"/>
    <xf borderId="23" fillId="8" fontId="30" numFmtId="9" xfId="0" applyBorder="1" applyFont="1" applyNumberFormat="1"/>
    <xf borderId="5" fillId="6" fontId="17" numFmtId="0" xfId="0" applyAlignment="1" applyBorder="1" applyFont="1">
      <alignment horizontal="center" readingOrder="0"/>
    </xf>
    <xf borderId="1" fillId="0" fontId="19" numFmtId="0" xfId="0" applyAlignment="1" applyBorder="1" applyFont="1">
      <alignment horizontal="center" readingOrder="0"/>
    </xf>
    <xf borderId="1" fillId="13" fontId="26" numFmtId="0" xfId="0" applyAlignment="1" applyBorder="1" applyFill="1" applyFont="1">
      <alignment horizontal="right" readingOrder="0"/>
    </xf>
    <xf borderId="1" fillId="0" fontId="19" numFmtId="0" xfId="0" applyAlignment="1" applyBorder="1" applyFont="1">
      <alignment horizontal="center"/>
    </xf>
    <xf borderId="8" fillId="13" fontId="19" numFmtId="0" xfId="0" applyBorder="1" applyFont="1"/>
    <xf borderId="8" fillId="13" fontId="19" numFmtId="9" xfId="0" applyBorder="1" applyFont="1" applyNumberFormat="1"/>
    <xf borderId="0" fillId="0" fontId="11" numFmtId="0" xfId="0" applyAlignment="1" applyFont="1">
      <alignment horizontal="left" shrinkToFit="0" vertical="center" wrapText="1"/>
    </xf>
    <xf borderId="2" fillId="4" fontId="25" numFmtId="0" xfId="0" applyAlignment="1" applyBorder="1" applyFont="1">
      <alignment horizontal="center" shrinkToFit="0" vertical="center" wrapText="1"/>
    </xf>
    <xf borderId="1" fillId="9" fontId="26" numFmtId="0" xfId="0" applyAlignment="1" applyBorder="1" applyFont="1">
      <alignment horizontal="right"/>
    </xf>
    <xf borderId="24" fillId="11" fontId="27" numFmtId="0" xfId="0" applyAlignment="1" applyBorder="1" applyFont="1">
      <alignment horizontal="center"/>
    </xf>
    <xf borderId="25" fillId="0" fontId="2" numFmtId="0" xfId="0" applyBorder="1" applyFont="1"/>
    <xf borderId="26" fillId="0" fontId="2" numFmtId="0" xfId="0" applyBorder="1" applyFont="1"/>
    <xf borderId="1" fillId="12" fontId="23" numFmtId="0" xfId="0" applyAlignment="1" applyBorder="1" applyFont="1">
      <alignment horizontal="center" vertical="center"/>
    </xf>
    <xf borderId="1" fillId="8" fontId="23" numFmtId="0" xfId="0" applyAlignment="1" applyBorder="1" applyFont="1">
      <alignment horizontal="center" vertical="center"/>
    </xf>
    <xf borderId="5" fillId="14" fontId="17" numFmtId="0" xfId="0" applyAlignment="1" applyBorder="1" applyFill="1" applyFont="1">
      <alignment horizontal="center"/>
    </xf>
    <xf borderId="1" fillId="8" fontId="21" numFmtId="171" xfId="0" applyBorder="1" applyFont="1" applyNumberFormat="1"/>
    <xf borderId="1" fillId="0" fontId="19" numFmtId="1" xfId="0" applyBorder="1" applyFont="1" applyNumberFormat="1"/>
    <xf borderId="1" fillId="9" fontId="20" numFmtId="1" xfId="0" applyAlignment="1" applyBorder="1" applyFont="1" applyNumberFormat="1">
      <alignment horizontal="center" shrinkToFit="0" vertical="center" wrapText="1"/>
    </xf>
    <xf borderId="0" fillId="0" fontId="19" numFmtId="10" xfId="0" applyAlignment="1" applyFont="1" applyNumberFormat="1">
      <alignment readingOrder="0"/>
    </xf>
    <xf borderId="1" fillId="8" fontId="11" numFmtId="0" xfId="0" applyBorder="1" applyFont="1"/>
    <xf borderId="1" fillId="0" fontId="19" numFmtId="2" xfId="0" applyBorder="1" applyFont="1" applyNumberFormat="1"/>
    <xf borderId="1" fillId="8" fontId="19" numFmtId="2" xfId="0" applyBorder="1" applyFont="1" applyNumberFormat="1"/>
    <xf borderId="0" fillId="0" fontId="14" numFmtId="2" xfId="0" applyFont="1" applyNumberFormat="1"/>
    <xf borderId="5" fillId="15" fontId="24" numFmtId="0" xfId="0" applyAlignment="1" applyBorder="1" applyFill="1" applyFont="1">
      <alignment horizontal="center"/>
    </xf>
    <xf borderId="7" fillId="15" fontId="24" numFmtId="0" xfId="0" applyAlignment="1" applyBorder="1" applyFont="1">
      <alignment horizontal="center"/>
    </xf>
    <xf borderId="8" fillId="3" fontId="8" numFmtId="0" xfId="0" applyAlignment="1" applyBorder="1" applyFont="1">
      <alignment horizontal="center"/>
    </xf>
    <xf borderId="0" fillId="0" fontId="22" numFmtId="2" xfId="0" applyAlignment="1" applyFont="1" applyNumberFormat="1">
      <alignment horizontal="center"/>
    </xf>
    <xf borderId="11" fillId="3" fontId="8" numFmtId="0" xfId="0" applyAlignment="1" applyBorder="1" applyFont="1">
      <alignment horizontal="center"/>
    </xf>
    <xf borderId="11" fillId="0" fontId="22" numFmtId="0" xfId="0" applyBorder="1" applyFont="1"/>
    <xf borderId="0" fillId="0" fontId="22" numFmtId="2" xfId="0" applyAlignment="1" applyFont="1" applyNumberFormat="1">
      <alignment horizontal="center" vertical="center"/>
    </xf>
    <xf borderId="0" fillId="0" fontId="19" numFmtId="2" xfId="0" applyAlignment="1" applyFont="1" applyNumberFormat="1">
      <alignment horizontal="center"/>
    </xf>
    <xf borderId="15" fillId="3" fontId="8" numFmtId="0" xfId="0" applyAlignment="1" applyBorder="1" applyFont="1">
      <alignment horizontal="center"/>
    </xf>
    <xf borderId="9" fillId="0" fontId="22" numFmtId="0" xfId="0" applyBorder="1" applyFont="1"/>
    <xf borderId="1" fillId="0" fontId="22" numFmtId="0" xfId="0" applyBorder="1" applyFont="1"/>
    <xf borderId="5" fillId="16" fontId="31" numFmtId="0" xfId="0" applyAlignment="1" applyBorder="1" applyFill="1" applyFont="1">
      <alignment horizontal="center"/>
    </xf>
    <xf borderId="8" fillId="17" fontId="11" numFmtId="169" xfId="0" applyAlignment="1" applyBorder="1" applyFill="1" applyFont="1" applyNumberFormat="1">
      <alignment horizontal="left"/>
    </xf>
    <xf borderId="1" fillId="12" fontId="23" numFmtId="169" xfId="0" applyAlignment="1" applyBorder="1" applyFont="1" applyNumberFormat="1">
      <alignment horizontal="center" vertical="center"/>
    </xf>
    <xf borderId="0" fillId="0" fontId="22" numFmtId="169" xfId="0" applyFont="1" applyNumberFormat="1"/>
    <xf borderId="8" fillId="4" fontId="11" numFmtId="169" xfId="0" applyAlignment="1" applyBorder="1" applyFont="1" applyNumberFormat="1">
      <alignment horizontal="left"/>
    </xf>
    <xf borderId="8" fillId="8" fontId="22" numFmtId="169" xfId="0" applyBorder="1" applyFont="1" applyNumberFormat="1"/>
    <xf borderId="8" fillId="18" fontId="11" numFmtId="169" xfId="0" applyAlignment="1" applyBorder="1" applyFill="1" applyFont="1" applyNumberFormat="1">
      <alignment horizontal="left"/>
    </xf>
    <xf borderId="8" fillId="18" fontId="22" numFmtId="169" xfId="0" applyBorder="1" applyFont="1" applyNumberFormat="1"/>
    <xf borderId="0" fillId="0" fontId="22" numFmtId="170" xfId="0" applyFont="1" applyNumberFormat="1"/>
    <xf borderId="0" fillId="0" fontId="14" numFmtId="0" xfId="0" applyFont="1"/>
  </cellXfs>
  <cellStyles count="1">
    <cellStyle xfId="0" name="Normal" builtinId="0"/>
  </cellStyles>
  <dxfs count="2">
    <dxf>
      <font/>
      <fill>
        <patternFill patternType="solid">
          <fgColor rgb="FFCCCCCC"/>
          <bgColor rgb="FFCCCCCC"/>
        </patternFill>
      </fill>
      <border/>
    </dxf>
    <dxf>
      <font/>
      <fill>
        <patternFill patternType="solid">
          <fgColor rgb="FFD9D9D9"/>
          <bgColor rgb="FFD9D9D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Total production</c:v>
          </c:tx>
          <c:spPr>
            <a:solidFill>
              <a:srgbClr val="CCCCCC"/>
            </a:solidFill>
            <a:ln cmpd="sng">
              <a:solidFill>
                <a:srgbClr val="000000"/>
              </a:solidFill>
            </a:ln>
          </c:spPr>
          <c:cat>
            <c:strRef>
              <c:f>Mixing!$I$13:$AH$13</c:f>
            </c:strRef>
          </c:cat>
          <c:val>
            <c:numRef>
              <c:f>Mixing!$I$22:$AH$22</c:f>
              <c:numCache/>
            </c:numRef>
          </c:val>
        </c:ser>
        <c:axId val="1068439397"/>
        <c:axId val="139499870"/>
      </c:barChart>
      <c:lineChart>
        <c:ser>
          <c:idx val="1"/>
          <c:order val="1"/>
          <c:tx>
            <c:v>Capacity (Min)</c:v>
          </c:tx>
          <c:spPr>
            <a:ln cmpd="sng">
              <a:solidFill>
                <a:srgbClr val="000000"/>
              </a:solidFill>
            </a:ln>
          </c:spPr>
          <c:marker>
            <c:symbol val="none"/>
          </c:marker>
          <c:cat>
            <c:strRef>
              <c:f>Mixing!$I$13:$AH$13</c:f>
            </c:strRef>
          </c:cat>
          <c:val>
            <c:numRef>
              <c:f>Mixing!$I$23:$AH$23</c:f>
              <c:numCache/>
            </c:numRef>
          </c:val>
          <c:smooth val="0"/>
        </c:ser>
        <c:ser>
          <c:idx val="2"/>
          <c:order val="2"/>
          <c:tx>
            <c:v>Capacity (Max)</c:v>
          </c:tx>
          <c:spPr>
            <a:ln cmpd="sng">
              <a:solidFill>
                <a:srgbClr val="FBBC04"/>
              </a:solidFill>
            </a:ln>
          </c:spPr>
          <c:marker>
            <c:symbol val="none"/>
          </c:marker>
          <c:cat>
            <c:strRef>
              <c:f>Mixing!$I$13:$AH$13</c:f>
            </c:strRef>
          </c:cat>
          <c:val>
            <c:numRef>
              <c:f>Mixing!$I$24:$AH$24</c:f>
              <c:numCache/>
            </c:numRef>
          </c:val>
          <c:smooth val="0"/>
        </c:ser>
        <c:axId val="1068439397"/>
        <c:axId val="139499870"/>
      </c:lineChart>
      <c:catAx>
        <c:axId val="106843939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Arial"/>
              </a:defRPr>
            </a:pPr>
          </a:p>
        </c:txPr>
        <c:crossAx val="139499870"/>
      </c:catAx>
      <c:valAx>
        <c:axId val="13949987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Arial"/>
              </a:defRPr>
            </a:pPr>
          </a:p>
        </c:txPr>
        <c:crossAx val="1068439397"/>
      </c:valAx>
    </c:plotArea>
    <c:legend>
      <c:legendPos val="r"/>
      <c:overlay val="0"/>
      <c:txPr>
        <a:bodyPr/>
        <a:lstStyle/>
        <a:p>
          <a:pPr lvl="0">
            <a:defRPr b="0" i="0">
              <a:solidFill>
                <a:srgbClr val="1A1A1A"/>
              </a:solidFill>
              <a:latin typeface="Arial"/>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Total production (Usage)</c:v>
          </c:tx>
          <c:spPr>
            <a:solidFill>
              <a:srgbClr val="CCCCCC"/>
            </a:solidFill>
            <a:ln cmpd="sng">
              <a:solidFill>
                <a:srgbClr val="000000"/>
              </a:solidFill>
            </a:ln>
          </c:spPr>
          <c:cat>
            <c:strRef>
              <c:f>Bottling!$H$15:$AG$15</c:f>
            </c:strRef>
          </c:cat>
          <c:val>
            <c:numRef>
              <c:f>Bottling!$H$24:$AG$24</c:f>
              <c:numCache/>
            </c:numRef>
          </c:val>
        </c:ser>
        <c:axId val="1436695318"/>
        <c:axId val="607563649"/>
      </c:barChart>
      <c:lineChart>
        <c:varyColors val="0"/>
        <c:ser>
          <c:idx val="1"/>
          <c:order val="1"/>
          <c:tx>
            <c:v>Capacity</c:v>
          </c:tx>
          <c:spPr>
            <a:ln cmpd="sng">
              <a:solidFill>
                <a:srgbClr val="000000"/>
              </a:solidFill>
            </a:ln>
          </c:spPr>
          <c:marker>
            <c:symbol val="none"/>
          </c:marker>
          <c:cat>
            <c:strRef>
              <c:f>Bottling!$H$15:$AG$15</c:f>
            </c:strRef>
          </c:cat>
          <c:val>
            <c:numRef>
              <c:f>Bottling!$H$25:$AG$25</c:f>
              <c:numCache/>
            </c:numRef>
          </c:val>
          <c:smooth val="0"/>
        </c:ser>
        <c:axId val="1436695318"/>
        <c:axId val="607563649"/>
      </c:lineChart>
      <c:catAx>
        <c:axId val="14366953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Arial"/>
              </a:defRPr>
            </a:pPr>
          </a:p>
        </c:txPr>
        <c:crossAx val="607563649"/>
      </c:catAx>
      <c:valAx>
        <c:axId val="60756364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Arial"/>
              </a:defRPr>
            </a:pPr>
          </a:p>
        </c:txPr>
        <c:crossAx val="1436695318"/>
      </c:valAx>
    </c:plotArea>
    <c:legend>
      <c:legendPos val="r"/>
      <c:overlay val="0"/>
      <c:txPr>
        <a:bodyPr/>
        <a:lstStyle/>
        <a:p>
          <a:pPr lvl="0">
            <a:defRPr b="0" i="0">
              <a:solidFill>
                <a:srgbClr val="1A1A1A"/>
              </a:solidFill>
              <a:latin typeface="Arial"/>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Arial"/>
              </a:defRPr>
            </a:pPr>
            <a:r>
              <a:rPr b="0" i="0" sz="1400">
                <a:solidFill>
                  <a:srgbClr val="757575"/>
                </a:solidFill>
                <a:latin typeface="Arial"/>
              </a:rPr>
              <a:t>Mango</a:t>
            </a:r>
          </a:p>
        </c:rich>
      </c:tx>
      <c:overlay val="0"/>
    </c:title>
    <c:plotArea>
      <c:layout/>
      <c:lineChart>
        <c:ser>
          <c:idx val="0"/>
          <c:order val="0"/>
          <c:tx>
            <c:v> Stock development </c:v>
          </c:tx>
          <c:spPr>
            <a:ln cmpd="sng" w="28575">
              <a:solidFill>
                <a:schemeClr val="accent1"/>
              </a:solidFill>
            </a:ln>
          </c:spPr>
          <c:marker>
            <c:symbol val="none"/>
          </c:marker>
          <c:val>
            <c:numRef>
              <c:f>MRP!$B$29:$AA$29</c:f>
              <c:numCache/>
            </c:numRef>
          </c:val>
          <c:smooth val="0"/>
        </c:ser>
        <c:ser>
          <c:idx val="1"/>
          <c:order val="1"/>
          <c:tx>
            <c:v> Safety stock </c:v>
          </c:tx>
          <c:spPr>
            <a:ln cmpd="sng" w="28575">
              <a:solidFill>
                <a:schemeClr val="accent2"/>
              </a:solidFill>
            </a:ln>
          </c:spPr>
          <c:marker>
            <c:symbol val="none"/>
          </c:marker>
          <c:val>
            <c:numRef>
              <c:f>MRP!$B$30:$AA$30</c:f>
              <c:numCache/>
            </c:numRef>
          </c:val>
          <c:smooth val="0"/>
        </c:ser>
        <c:axId val="467703383"/>
        <c:axId val="1408862879"/>
      </c:lineChart>
      <c:catAx>
        <c:axId val="4677033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Arial"/>
              </a:defRPr>
            </a:pPr>
          </a:p>
        </c:txPr>
        <c:crossAx val="1408862879"/>
      </c:catAx>
      <c:valAx>
        <c:axId val="140886287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Arial"/>
              </a:defRPr>
            </a:pPr>
          </a:p>
        </c:txPr>
        <c:crossAx val="467703383"/>
      </c:valAx>
    </c:plotArea>
    <c:legend>
      <c:legendPos val="b"/>
      <c:overlay val="0"/>
      <c:txPr>
        <a:bodyPr/>
        <a:lstStyle/>
        <a:p>
          <a:pPr lvl="0">
            <a:defRPr b="0" i="0" sz="900">
              <a:solidFill>
                <a:srgbClr val="1A1A1A"/>
              </a:solidFill>
              <a:latin typeface="Arial"/>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Arial"/>
              </a:defRPr>
            </a:pPr>
            <a:r>
              <a:rPr b="0" i="0" sz="1400">
                <a:solidFill>
                  <a:srgbClr val="757575"/>
                </a:solidFill>
                <a:latin typeface="Arial"/>
              </a:rPr>
              <a:t>Orange</a:t>
            </a:r>
          </a:p>
        </c:rich>
      </c:tx>
      <c:overlay val="0"/>
    </c:title>
    <c:plotArea>
      <c:layout/>
      <c:lineChart>
        <c:ser>
          <c:idx val="0"/>
          <c:order val="0"/>
          <c:tx>
            <c:v> Stock development (Closing stock) </c:v>
          </c:tx>
          <c:spPr>
            <a:ln cmpd="sng" w="28575">
              <a:solidFill>
                <a:schemeClr val="accent1"/>
              </a:solidFill>
            </a:ln>
          </c:spPr>
          <c:marker>
            <c:symbol val="none"/>
          </c:marker>
          <c:val>
            <c:numRef>
              <c:f>MRP!$B$20:$AA$20</c:f>
              <c:numCache/>
            </c:numRef>
          </c:val>
          <c:smooth val="0"/>
        </c:ser>
        <c:ser>
          <c:idx val="1"/>
          <c:order val="1"/>
          <c:tx>
            <c:v> Safety stock </c:v>
          </c:tx>
          <c:spPr>
            <a:ln cmpd="sng" w="28575">
              <a:solidFill>
                <a:schemeClr val="accent2"/>
              </a:solidFill>
            </a:ln>
          </c:spPr>
          <c:marker>
            <c:symbol val="none"/>
          </c:marker>
          <c:val>
            <c:numRef>
              <c:f>MRP!$B$21:$AA$21</c:f>
              <c:numCache/>
            </c:numRef>
          </c:val>
          <c:smooth val="0"/>
        </c:ser>
        <c:axId val="452871694"/>
        <c:axId val="398814157"/>
      </c:lineChart>
      <c:catAx>
        <c:axId val="45287169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Arial"/>
              </a:defRPr>
            </a:pPr>
          </a:p>
        </c:txPr>
        <c:crossAx val="398814157"/>
      </c:catAx>
      <c:valAx>
        <c:axId val="39881415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Arial"/>
              </a:defRPr>
            </a:pPr>
          </a:p>
        </c:txPr>
        <c:crossAx val="452871694"/>
      </c:valAx>
    </c:plotArea>
    <c:legend>
      <c:legendPos val="b"/>
      <c:overlay val="0"/>
      <c:txPr>
        <a:bodyPr/>
        <a:lstStyle/>
        <a:p>
          <a:pPr lvl="0">
            <a:defRPr b="0" i="0" sz="900">
              <a:solidFill>
                <a:srgbClr val="1A1A1A"/>
              </a:solidFill>
              <a:latin typeface="Arial"/>
            </a:defRPr>
          </a:pPr>
        </a:p>
      </c:txPr>
    </c:legend>
    <c:plotVisOnly val="1"/>
  </c:chart>
</c:chartSpace>
</file>

<file path=xl/documenttasks/documenttask1.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133350</xdr:colOff>
      <xdr:row>0</xdr:row>
      <xdr:rowOff>314325</xdr:rowOff>
    </xdr:from>
    <xdr:ext cx="5486400" cy="2466975"/>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95250</xdr:colOff>
      <xdr:row>11</xdr:row>
      <xdr:rowOff>114300</xdr:rowOff>
    </xdr:from>
    <xdr:ext cx="5562600" cy="4543425"/>
    <xdr:pic>
      <xdr:nvPicPr>
        <xdr:cNvPr id="0" name="image2.pn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800100</xdr:colOff>
      <xdr:row>26</xdr:row>
      <xdr:rowOff>57150</xdr:rowOff>
    </xdr:from>
    <xdr:ext cx="9124950" cy="21717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1143000</xdr:colOff>
      <xdr:row>27</xdr:row>
      <xdr:rowOff>85725</xdr:rowOff>
    </xdr:from>
    <xdr:ext cx="9124950" cy="2171700"/>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1390650</xdr:colOff>
      <xdr:row>49</xdr:row>
      <xdr:rowOff>19050</xdr:rowOff>
    </xdr:from>
    <xdr:ext cx="7686675" cy="2686050"/>
    <xdr:graphicFrame>
      <xdr:nvGraphicFramePr>
        <xdr:cNvPr id="3" name="Chart 3"/>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34</xdr:row>
      <xdr:rowOff>57150</xdr:rowOff>
    </xdr:from>
    <xdr:ext cx="13239750" cy="2771775"/>
    <xdr:graphicFrame>
      <xdr:nvGraphicFramePr>
        <xdr:cNvPr id="4" name="Chart 4"/>
        <xdr:cNvGraphicFramePr/>
      </xdr:nvGraphicFramePr>
      <xdr:xfrm>
        <a:off x="0" y="0"/>
        <a:ext cx="0" cy="0"/>
      </xdr:xfrm>
      <a:graphic>
        <a:graphicData uri="http://schemas.openxmlformats.org/drawingml/2006/chart">
          <c:chart r:id="rId2"/>
        </a:graphicData>
      </a:graphic>
    </xdr:graphicFrame>
    <xdr:clientData fLocksWithSheet="0"/>
  </xdr:oneCellAnchor>
</xdr:wsDr>
</file>

<file path=xl/persons/person.xml><?xml version="1.0" encoding="utf-8"?>
<x18tc:personList xmlns:x18tc="http://schemas.microsoft.com/office/spreadsheetml/2018/threadedcomments">
  <x18tc:person displayName="MINH LÂN NGUYỄN" id="{e9853848-350b-492b-bc30-dfaed3693f44}"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36" dT="2025-12-25T16:43:54.00" personId="{e9853848-350b-492b-bc30-dfaed3693f44}" id="{881f5f16-4f3b-4798-9caa-cee24c3e0dd8}" done="0">
    <x18tc:text xml:space="preserve">IBC và Drum đều sẽ được sắp xếp trên các Pallet</x18tc:text>
  </x18tc:threadedComment>
  <x18tc:threadedComment ref="B14" dT="2025-12-25T17:10:22.00" personId="{e9853848-350b-492b-bc30-dfaed3693f44}" id="{97e6087b-4f7c-4ca9-bce2-4b37d4f19b38}" done="0">
    <x18tc:text xml:space="preserve">PET chiếm rất nhiều Pallet ( tồn kho PET nhiều dẫn đến kho inbound bị đầy)</x18tc:text>
  </x18tc:threadedComment>
  <x18tc:threadedComment ref="A13" dT="2025-12-25T17:12:38.00" personId="{e9853848-350b-492b-bc30-dfaed3693f44}" id="{646dc35c-bada-4aea-b15e-cfb4e73734ae}" done="0">
    <x18tc:text xml:space="preserve">PET đang có safety stock trung bình dao động từ 2,4 đến 2,6 week.
Do PET đã thay đổi nhà cung cấp có lead time ngắn hơn và uy tín hơn nên có thể giảm Safety Stock xuống 1 - 1,5 Week</x18tc:text>
  </x18tc:threadedComment>
  <x18tc:threadedComment ref="D16" dT="2025-12-25T16:39:05.00" personId="{e9853848-350b-492b-bc30-dfaed3693f44}" id="{4d0cb8d0-fdb8-4acc-9174-e0baa689e43f}" done="0">
    <x18tc:text xml:space="preserve">phòng trường hợp max need cao hơn của kho thì dẫn đến chi phí overflow xuất hiện</x18tc:text>
  </x18tc:threadedComment>
  <x18tc:threadedComment ref="A38" dT="2025-12-25T16:42:19.00" personId="{e9853848-350b-492b-bc30-dfaed3693f44}" id="{1225d949-4c37-4988-80ed-1c4f241fe1f2}" done="0">
    <x18tc:text xml:space="preserve">hàng chứa trong Tank có Orange, nếu lượng Orange nhiều quá số lượng 4 Tank sẽ chuyển sang chứa trong các IBC</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4.xml"/><Relationship Id="rId5"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42.63"/>
    <col customWidth="1" min="2" max="8" width="19.5"/>
    <col customWidth="1" min="9" max="9" width="36.5"/>
    <col customWidth="1" min="10" max="26" width="7.63"/>
  </cols>
  <sheetData>
    <row r="1">
      <c r="A1" s="1" t="s">
        <v>0</v>
      </c>
      <c r="B1" s="2">
        <v>-2.0</v>
      </c>
      <c r="C1" s="2">
        <v>-1.0</v>
      </c>
      <c r="D1" s="2">
        <v>0.0</v>
      </c>
      <c r="E1" s="2">
        <v>1.0</v>
      </c>
      <c r="F1" s="2">
        <v>2.0</v>
      </c>
      <c r="G1" s="2">
        <v>3.0</v>
      </c>
      <c r="H1" s="2">
        <v>4.0</v>
      </c>
      <c r="I1" s="2">
        <v>5.0</v>
      </c>
      <c r="J1" s="3">
        <v>6.0</v>
      </c>
      <c r="K1" s="4"/>
      <c r="L1" s="4"/>
      <c r="M1" s="4"/>
      <c r="N1" s="4"/>
      <c r="O1" s="4"/>
      <c r="P1" s="4"/>
      <c r="Q1" s="4"/>
      <c r="R1" s="4"/>
      <c r="S1" s="5"/>
      <c r="T1" s="6"/>
      <c r="U1" s="6"/>
      <c r="V1" s="6"/>
      <c r="W1" s="6"/>
      <c r="X1" s="6"/>
      <c r="Y1" s="6"/>
      <c r="Z1" s="6"/>
    </row>
    <row r="2">
      <c r="A2" s="2" t="s">
        <v>1</v>
      </c>
      <c r="B2" s="7">
        <f t="shared" ref="B2:I2" si="1">B37/B85 </f>
        <v>-0.04470611227</v>
      </c>
      <c r="C2" s="7">
        <f t="shared" si="1"/>
        <v>-0.0379774121</v>
      </c>
      <c r="D2" s="7">
        <f t="shared" si="1"/>
        <v>-0.0379774121</v>
      </c>
      <c r="E2" s="7">
        <f t="shared" si="1"/>
        <v>-0.0379774121</v>
      </c>
      <c r="F2" s="7">
        <f t="shared" si="1"/>
        <v>-0.0696811759</v>
      </c>
      <c r="G2" s="7">
        <f t="shared" si="1"/>
        <v>0.0261641269</v>
      </c>
      <c r="H2" s="7">
        <f t="shared" si="1"/>
        <v>-0.2135201012</v>
      </c>
      <c r="I2" s="7" t="str">
        <f t="shared" si="1"/>
        <v>#DIV/0!</v>
      </c>
      <c r="J2" s="6"/>
      <c r="K2" s="6"/>
      <c r="L2" s="6"/>
      <c r="M2" s="6"/>
      <c r="N2" s="6"/>
      <c r="O2" s="6"/>
      <c r="P2" s="6"/>
      <c r="Q2" s="6"/>
      <c r="R2" s="6"/>
      <c r="S2" s="6"/>
      <c r="T2" s="6"/>
      <c r="U2" s="6"/>
      <c r="V2" s="6"/>
      <c r="W2" s="6"/>
      <c r="X2" s="6"/>
      <c r="Y2" s="6"/>
      <c r="Z2" s="6"/>
    </row>
    <row r="3">
      <c r="A3" s="8"/>
      <c r="B3" s="8"/>
      <c r="C3" s="8"/>
      <c r="D3" s="8"/>
      <c r="E3" s="8"/>
      <c r="F3" s="8"/>
      <c r="G3" s="8"/>
      <c r="H3" s="8"/>
      <c r="I3" s="6"/>
      <c r="J3" s="6"/>
      <c r="K3" s="6"/>
      <c r="L3" s="6"/>
      <c r="M3" s="6"/>
      <c r="N3" s="6"/>
      <c r="O3" s="6"/>
      <c r="P3" s="6"/>
      <c r="Q3" s="6"/>
      <c r="R3" s="6"/>
      <c r="S3" s="6"/>
      <c r="T3" s="6"/>
      <c r="U3" s="6"/>
      <c r="V3" s="6"/>
      <c r="W3" s="6"/>
      <c r="X3" s="6"/>
      <c r="Y3" s="6"/>
      <c r="Z3" s="6"/>
    </row>
    <row r="4">
      <c r="A4" s="8"/>
      <c r="B4" s="8"/>
      <c r="C4" s="8"/>
      <c r="D4" s="8"/>
      <c r="E4" s="8"/>
      <c r="F4" s="8"/>
      <c r="G4" s="8"/>
      <c r="H4" s="8"/>
      <c r="I4" s="6"/>
      <c r="J4" s="6"/>
      <c r="K4" s="6"/>
      <c r="L4" s="6"/>
      <c r="M4" s="6"/>
      <c r="N4" s="6"/>
      <c r="O4" s="6"/>
      <c r="P4" s="6"/>
      <c r="Q4" s="6"/>
      <c r="R4" s="6"/>
      <c r="S4" s="6"/>
      <c r="T4" s="6"/>
      <c r="U4" s="6"/>
      <c r="V4" s="6"/>
      <c r="W4" s="6"/>
      <c r="X4" s="6"/>
      <c r="Y4" s="6"/>
      <c r="Z4" s="6"/>
    </row>
    <row r="5" ht="27.75" customHeight="1">
      <c r="A5" s="9" t="s">
        <v>2</v>
      </c>
      <c r="B5" s="10">
        <f t="shared" ref="B5:I5" si="2">sum(B10,B6)</f>
        <v>2491636.768</v>
      </c>
      <c r="C5" s="10">
        <f t="shared" si="2"/>
        <v>2526063.049</v>
      </c>
      <c r="D5" s="10">
        <f t="shared" si="2"/>
        <v>2526063.049</v>
      </c>
      <c r="E5" s="10">
        <f t="shared" si="2"/>
        <v>2526063.049</v>
      </c>
      <c r="F5" s="10">
        <f t="shared" si="2"/>
        <v>2443304.564</v>
      </c>
      <c r="G5" s="10">
        <f t="shared" si="2"/>
        <v>2838118.114</v>
      </c>
      <c r="H5" s="10">
        <f t="shared" si="2"/>
        <v>2157046.493</v>
      </c>
      <c r="I5" s="10">
        <f t="shared" si="2"/>
        <v>0</v>
      </c>
      <c r="J5" s="6"/>
      <c r="K5" s="6"/>
      <c r="L5" s="6"/>
      <c r="M5" s="6"/>
      <c r="N5" s="6"/>
      <c r="O5" s="6"/>
      <c r="P5" s="6"/>
      <c r="Q5" s="6"/>
      <c r="R5" s="6"/>
      <c r="S5" s="6"/>
      <c r="T5" s="6"/>
      <c r="U5" s="6"/>
      <c r="V5" s="6"/>
      <c r="W5" s="6"/>
      <c r="X5" s="6"/>
      <c r="Y5" s="6"/>
      <c r="Z5" s="6"/>
    </row>
    <row r="6">
      <c r="A6" s="11" t="s">
        <v>3</v>
      </c>
      <c r="B6" s="12">
        <f t="shared" ref="B6:I6" si="3">sum(B7:B9)</f>
        <v>3193657.483</v>
      </c>
      <c r="C6" s="12">
        <f t="shared" si="3"/>
        <v>3193657.483</v>
      </c>
      <c r="D6" s="12">
        <f t="shared" si="3"/>
        <v>3193657.483</v>
      </c>
      <c r="E6" s="12">
        <f t="shared" si="3"/>
        <v>3193657.483</v>
      </c>
      <c r="F6" s="12">
        <f t="shared" si="3"/>
        <v>3340943.311</v>
      </c>
      <c r="G6" s="12">
        <f t="shared" si="3"/>
        <v>2518822.951</v>
      </c>
      <c r="H6" s="12">
        <f t="shared" si="3"/>
        <v>2983349.078</v>
      </c>
      <c r="I6" s="12">
        <f t="shared" si="3"/>
        <v>0</v>
      </c>
      <c r="J6" s="6"/>
      <c r="K6" s="6"/>
      <c r="L6" s="6"/>
      <c r="M6" s="6"/>
      <c r="N6" s="6"/>
      <c r="O6" s="6"/>
      <c r="P6" s="6"/>
      <c r="Q6" s="6"/>
      <c r="R6" s="6"/>
      <c r="S6" s="6"/>
      <c r="T6" s="6"/>
      <c r="U6" s="6"/>
      <c r="V6" s="6"/>
      <c r="W6" s="6"/>
      <c r="X6" s="6"/>
      <c r="Y6" s="6"/>
      <c r="Z6" s="6"/>
    </row>
    <row r="7">
      <c r="A7" s="13" t="s">
        <v>4</v>
      </c>
      <c r="B7" s="14">
        <v>1578332.7808</v>
      </c>
      <c r="C7" s="14">
        <v>1578332.7808</v>
      </c>
      <c r="D7" s="14">
        <v>1578332.7808</v>
      </c>
      <c r="E7" s="14">
        <v>1578332.7808</v>
      </c>
      <c r="F7" s="14">
        <v>1694262.6185</v>
      </c>
      <c r="G7" s="14">
        <v>1219869.0853</v>
      </c>
      <c r="H7" s="14">
        <v>1490951.1043</v>
      </c>
      <c r="I7" s="6"/>
      <c r="J7" s="6"/>
      <c r="K7" s="6"/>
      <c r="L7" s="6"/>
      <c r="M7" s="6"/>
      <c r="N7" s="6"/>
      <c r="O7" s="6"/>
      <c r="P7" s="6"/>
      <c r="Q7" s="6"/>
      <c r="R7" s="6"/>
      <c r="S7" s="6"/>
      <c r="T7" s="6"/>
      <c r="U7" s="6"/>
      <c r="V7" s="6"/>
      <c r="W7" s="6"/>
      <c r="X7" s="6"/>
      <c r="Y7" s="6"/>
      <c r="Z7" s="6"/>
    </row>
    <row r="8">
      <c r="A8" s="13" t="s">
        <v>5</v>
      </c>
      <c r="B8" s="14">
        <v>805569.6889</v>
      </c>
      <c r="C8" s="14">
        <v>805569.6889</v>
      </c>
      <c r="D8" s="14">
        <v>805569.6889</v>
      </c>
      <c r="E8" s="14">
        <v>805569.6889</v>
      </c>
      <c r="F8" s="14">
        <v>817230.9832</v>
      </c>
      <c r="G8" s="14">
        <v>558130.2899</v>
      </c>
      <c r="H8" s="14">
        <v>694384.029</v>
      </c>
      <c r="I8" s="6"/>
      <c r="J8" s="6"/>
      <c r="K8" s="6"/>
      <c r="L8" s="6"/>
      <c r="M8" s="6"/>
      <c r="N8" s="6"/>
      <c r="O8" s="6"/>
      <c r="P8" s="6"/>
      <c r="Q8" s="6"/>
      <c r="R8" s="6"/>
      <c r="S8" s="6"/>
      <c r="T8" s="6"/>
      <c r="U8" s="6"/>
      <c r="V8" s="6"/>
      <c r="W8" s="6"/>
      <c r="X8" s="6"/>
      <c r="Y8" s="6"/>
      <c r="Z8" s="6"/>
    </row>
    <row r="9">
      <c r="A9" s="13" t="s">
        <v>6</v>
      </c>
      <c r="B9" s="14">
        <v>809755.0132</v>
      </c>
      <c r="C9" s="14">
        <v>809755.0132</v>
      </c>
      <c r="D9" s="14">
        <v>809755.0132</v>
      </c>
      <c r="E9" s="14">
        <v>809755.0132</v>
      </c>
      <c r="F9" s="14">
        <v>829449.7095</v>
      </c>
      <c r="G9" s="14">
        <v>740823.5762</v>
      </c>
      <c r="H9" s="14">
        <v>798013.9443</v>
      </c>
      <c r="I9" s="6"/>
      <c r="J9" s="6"/>
      <c r="K9" s="6"/>
      <c r="L9" s="6"/>
      <c r="M9" s="6"/>
      <c r="N9" s="6"/>
      <c r="O9" s="6"/>
      <c r="P9" s="6"/>
      <c r="Q9" s="6"/>
      <c r="R9" s="6"/>
      <c r="S9" s="6"/>
      <c r="T9" s="6"/>
      <c r="U9" s="6"/>
      <c r="V9" s="6"/>
      <c r="W9" s="6"/>
      <c r="X9" s="6"/>
      <c r="Y9" s="6"/>
      <c r="Z9" s="6"/>
    </row>
    <row r="10">
      <c r="A10" s="15" t="s">
        <v>7</v>
      </c>
      <c r="B10" s="12">
        <f t="shared" ref="B10:I10" si="4">sum(B11:B13)</f>
        <v>-702020.715</v>
      </c>
      <c r="C10" s="12">
        <f t="shared" si="4"/>
        <v>-667594.4336</v>
      </c>
      <c r="D10" s="12">
        <f t="shared" si="4"/>
        <v>-667594.4336</v>
      </c>
      <c r="E10" s="12">
        <f t="shared" si="4"/>
        <v>-667594.4336</v>
      </c>
      <c r="F10" s="12">
        <f t="shared" si="4"/>
        <v>-897638.7471</v>
      </c>
      <c r="G10" s="12">
        <f t="shared" si="4"/>
        <v>319295.1624</v>
      </c>
      <c r="H10" s="12">
        <f t="shared" si="4"/>
        <v>-826302.5851</v>
      </c>
      <c r="I10" s="12">
        <f t="shared" si="4"/>
        <v>0</v>
      </c>
      <c r="J10" s="6"/>
      <c r="K10" s="6"/>
      <c r="L10" s="6"/>
      <c r="M10" s="6"/>
      <c r="N10" s="6"/>
      <c r="O10" s="6"/>
      <c r="P10" s="6"/>
      <c r="Q10" s="6"/>
      <c r="R10" s="6"/>
      <c r="S10" s="6"/>
      <c r="T10" s="6"/>
      <c r="U10" s="6"/>
      <c r="V10" s="6"/>
      <c r="W10" s="6"/>
      <c r="X10" s="6"/>
      <c r="Y10" s="6"/>
      <c r="Z10" s="6"/>
    </row>
    <row r="11">
      <c r="A11" s="13" t="s">
        <v>8</v>
      </c>
      <c r="B11" s="14">
        <v>-451812.8189</v>
      </c>
      <c r="C11" s="14">
        <v>-451812.8189</v>
      </c>
      <c r="D11" s="14">
        <v>-451812.8189</v>
      </c>
      <c r="E11" s="14">
        <v>-451812.8189</v>
      </c>
      <c r="F11" s="14">
        <v>-451803.3649</v>
      </c>
      <c r="G11" s="14">
        <v>180429.4732</v>
      </c>
      <c r="H11" s="14">
        <v>-451803.3649</v>
      </c>
      <c r="I11" s="6"/>
      <c r="J11" s="6"/>
      <c r="K11" s="6"/>
      <c r="L11" s="6"/>
      <c r="M11" s="6"/>
      <c r="N11" s="6"/>
      <c r="O11" s="6"/>
      <c r="P11" s="6"/>
      <c r="Q11" s="6"/>
      <c r="R11" s="6"/>
      <c r="S11" s="6"/>
      <c r="T11" s="6"/>
      <c r="U11" s="6"/>
      <c r="V11" s="6"/>
      <c r="W11" s="6"/>
      <c r="X11" s="6"/>
      <c r="Y11" s="6"/>
      <c r="Z11" s="6"/>
    </row>
    <row r="12">
      <c r="A12" s="13" t="s">
        <v>5</v>
      </c>
      <c r="B12" s="14">
        <v>-218588.0126</v>
      </c>
      <c r="C12" s="14">
        <v>-196377.3545</v>
      </c>
      <c r="D12" s="14">
        <v>-196377.3545</v>
      </c>
      <c r="E12" s="14">
        <v>-196377.3545</v>
      </c>
      <c r="F12" s="14">
        <v>-218588.8864</v>
      </c>
      <c r="G12" s="14">
        <v>96120.0744</v>
      </c>
      <c r="H12" s="14">
        <v>-218588.8864</v>
      </c>
      <c r="I12" s="6"/>
      <c r="J12" s="6"/>
      <c r="K12" s="6"/>
      <c r="L12" s="6"/>
      <c r="M12" s="6"/>
      <c r="N12" s="6"/>
      <c r="O12" s="6"/>
      <c r="P12" s="6"/>
      <c r="Q12" s="6"/>
      <c r="R12" s="6"/>
      <c r="S12" s="6"/>
      <c r="T12" s="6"/>
      <c r="U12" s="6"/>
      <c r="V12" s="6"/>
      <c r="W12" s="6"/>
      <c r="X12" s="6"/>
      <c r="Y12" s="6"/>
      <c r="Z12" s="6"/>
    </row>
    <row r="13">
      <c r="A13" s="13" t="s">
        <v>6</v>
      </c>
      <c r="B13" s="14">
        <v>-31619.8835</v>
      </c>
      <c r="C13" s="14">
        <v>-19404.2602</v>
      </c>
      <c r="D13" s="14">
        <v>-19404.2602</v>
      </c>
      <c r="E13" s="14">
        <v>-19404.2602</v>
      </c>
      <c r="F13" s="14">
        <v>-227246.4958</v>
      </c>
      <c r="G13" s="14">
        <v>42745.6148</v>
      </c>
      <c r="H13" s="14">
        <v>-155910.3338</v>
      </c>
      <c r="I13" s="6"/>
      <c r="K13" s="6"/>
      <c r="L13" s="6"/>
      <c r="M13" s="6"/>
      <c r="N13" s="6"/>
      <c r="O13" s="6"/>
      <c r="P13" s="6"/>
      <c r="Q13" s="6"/>
      <c r="R13" s="6"/>
      <c r="S13" s="6"/>
      <c r="T13" s="6"/>
      <c r="U13" s="6"/>
      <c r="V13" s="6"/>
      <c r="W13" s="6"/>
      <c r="X13" s="6"/>
      <c r="Y13" s="6"/>
      <c r="Z13" s="6"/>
    </row>
    <row r="14">
      <c r="A14" s="16"/>
      <c r="B14" s="16"/>
      <c r="C14" s="16"/>
      <c r="D14" s="16"/>
      <c r="E14" s="16"/>
      <c r="F14" s="16"/>
      <c r="G14" s="16"/>
      <c r="H14" s="16"/>
      <c r="I14" s="6"/>
      <c r="J14" s="6"/>
      <c r="K14" s="6"/>
      <c r="L14" s="6"/>
      <c r="M14" s="6"/>
      <c r="N14" s="6"/>
      <c r="O14" s="6"/>
      <c r="P14" s="6"/>
      <c r="Q14" s="6"/>
      <c r="R14" s="6"/>
      <c r="S14" s="6"/>
      <c r="T14" s="6"/>
      <c r="U14" s="6"/>
      <c r="V14" s="6"/>
      <c r="W14" s="6"/>
      <c r="X14" s="6"/>
      <c r="Y14" s="6"/>
      <c r="Z14" s="6"/>
    </row>
    <row r="15">
      <c r="A15" s="16"/>
      <c r="B15" s="16"/>
      <c r="C15" s="16"/>
      <c r="D15" s="16"/>
      <c r="E15" s="16"/>
      <c r="F15" s="16"/>
      <c r="G15" s="16"/>
      <c r="H15" s="16"/>
      <c r="I15" s="6"/>
      <c r="J15" s="6"/>
      <c r="K15" s="6"/>
      <c r="L15" s="6"/>
      <c r="M15" s="6"/>
      <c r="N15" s="6"/>
      <c r="O15" s="6"/>
      <c r="P15" s="6"/>
      <c r="Q15" s="6"/>
      <c r="R15" s="6"/>
      <c r="S15" s="6"/>
      <c r="T15" s="6"/>
      <c r="U15" s="6"/>
      <c r="V15" s="6"/>
      <c r="W15" s="6"/>
      <c r="X15" s="6"/>
      <c r="Y15" s="6"/>
      <c r="Z15" s="6"/>
    </row>
    <row r="16">
      <c r="A16" s="16"/>
      <c r="B16" s="16"/>
      <c r="C16" s="16"/>
      <c r="D16" s="16"/>
      <c r="E16" s="16"/>
      <c r="F16" s="16"/>
      <c r="G16" s="16"/>
      <c r="H16" s="16"/>
      <c r="I16" s="6"/>
      <c r="J16" s="6"/>
      <c r="K16" s="6"/>
      <c r="L16" s="6"/>
      <c r="M16" s="6"/>
      <c r="N16" s="6"/>
      <c r="O16" s="6"/>
      <c r="P16" s="6"/>
      <c r="Q16" s="6"/>
      <c r="R16" s="6"/>
      <c r="S16" s="6"/>
      <c r="T16" s="6"/>
      <c r="U16" s="6"/>
      <c r="V16" s="6"/>
      <c r="W16" s="6"/>
      <c r="X16" s="6"/>
      <c r="Y16" s="6"/>
      <c r="Z16" s="6"/>
    </row>
    <row r="17">
      <c r="A17" s="16"/>
      <c r="B17" s="16"/>
      <c r="C17" s="16"/>
      <c r="D17" s="16"/>
      <c r="E17" s="16"/>
      <c r="F17" s="16"/>
      <c r="G17" s="16"/>
      <c r="H17" s="16"/>
      <c r="I17" s="6"/>
      <c r="J17" s="6"/>
      <c r="K17" s="6"/>
      <c r="L17" s="6"/>
      <c r="M17" s="6"/>
      <c r="N17" s="6"/>
      <c r="O17" s="6"/>
      <c r="P17" s="6"/>
      <c r="Q17" s="6"/>
      <c r="R17" s="6"/>
      <c r="S17" s="6"/>
      <c r="T17" s="6"/>
      <c r="U17" s="6"/>
      <c r="V17" s="6"/>
      <c r="W17" s="6"/>
      <c r="X17" s="6"/>
      <c r="Y17" s="6"/>
      <c r="Z17" s="6"/>
    </row>
    <row r="18" ht="26.25" customHeight="1">
      <c r="A18" s="17" t="s">
        <v>9</v>
      </c>
      <c r="B18" s="10">
        <f t="shared" ref="B18:I18" si="5">B5-B19</f>
        <v>925196.4681</v>
      </c>
      <c r="C18" s="10">
        <f t="shared" si="5"/>
        <v>956272.6327</v>
      </c>
      <c r="D18" s="10">
        <f t="shared" si="5"/>
        <v>956272.6327</v>
      </c>
      <c r="E18" s="10">
        <f t="shared" si="5"/>
        <v>956272.6327</v>
      </c>
      <c r="F18" s="10">
        <f t="shared" si="5"/>
        <v>832161.426</v>
      </c>
      <c r="G18" s="10">
        <f t="shared" si="5"/>
        <v>1218092.432</v>
      </c>
      <c r="H18" s="10">
        <f t="shared" si="5"/>
        <v>138234.7483</v>
      </c>
      <c r="I18" s="10">
        <f t="shared" si="5"/>
        <v>0</v>
      </c>
      <c r="J18" s="6"/>
      <c r="K18" s="6"/>
      <c r="L18" s="6"/>
      <c r="M18" s="6"/>
      <c r="N18" s="6"/>
      <c r="O18" s="6"/>
      <c r="P18" s="6"/>
      <c r="Q18" s="6"/>
      <c r="R18" s="6"/>
      <c r="S18" s="6"/>
      <c r="T18" s="6"/>
      <c r="U18" s="6"/>
      <c r="V18" s="6"/>
      <c r="W18" s="6"/>
      <c r="X18" s="6"/>
      <c r="Y18" s="6"/>
      <c r="Z18" s="6"/>
    </row>
    <row r="19">
      <c r="A19" s="15" t="s">
        <v>10</v>
      </c>
      <c r="B19" s="18">
        <f t="shared" ref="B19:I19" si="6">sum(B26,B20)</f>
        <v>1566440.3</v>
      </c>
      <c r="C19" s="18">
        <f t="shared" si="6"/>
        <v>1569790.417</v>
      </c>
      <c r="D19" s="18">
        <f t="shared" si="6"/>
        <v>1569790.417</v>
      </c>
      <c r="E19" s="18">
        <f t="shared" si="6"/>
        <v>1569790.417</v>
      </c>
      <c r="F19" s="18">
        <f t="shared" si="6"/>
        <v>1611143.138</v>
      </c>
      <c r="G19" s="18">
        <f t="shared" si="6"/>
        <v>1620025.682</v>
      </c>
      <c r="H19" s="18">
        <f t="shared" si="6"/>
        <v>2018811.744</v>
      </c>
      <c r="I19" s="18">
        <f t="shared" si="6"/>
        <v>0</v>
      </c>
      <c r="J19" s="6"/>
      <c r="K19" s="6"/>
      <c r="L19" s="6"/>
      <c r="M19" s="6"/>
      <c r="N19" s="6"/>
      <c r="O19" s="6"/>
      <c r="P19" s="6"/>
      <c r="Q19" s="6"/>
      <c r="R19" s="6"/>
      <c r="S19" s="6"/>
      <c r="T19" s="6"/>
      <c r="U19" s="6"/>
      <c r="V19" s="6"/>
      <c r="W19" s="6"/>
      <c r="X19" s="6"/>
      <c r="Y19" s="6"/>
      <c r="Z19" s="6"/>
    </row>
    <row r="20">
      <c r="A20" s="15" t="s">
        <v>11</v>
      </c>
      <c r="B20" s="12">
        <f t="shared" ref="B20:I20" si="7">SUM(B21:B25 )</f>
        <v>1037577.528</v>
      </c>
      <c r="C20" s="12">
        <f t="shared" si="7"/>
        <v>1040176.104</v>
      </c>
      <c r="D20" s="12">
        <f t="shared" si="7"/>
        <v>1040176.104</v>
      </c>
      <c r="E20" s="12">
        <f t="shared" si="7"/>
        <v>1040176.104</v>
      </c>
      <c r="F20" s="12">
        <f t="shared" si="7"/>
        <v>1058500.447</v>
      </c>
      <c r="G20" s="12">
        <f t="shared" si="7"/>
        <v>1067862.367</v>
      </c>
      <c r="H20" s="12">
        <f t="shared" si="7"/>
        <v>1012953.226</v>
      </c>
      <c r="I20" s="12">
        <f t="shared" si="7"/>
        <v>0</v>
      </c>
      <c r="J20" s="6"/>
      <c r="K20" s="6"/>
      <c r="L20" s="6"/>
      <c r="M20" s="6"/>
      <c r="N20" s="6"/>
      <c r="O20" s="6"/>
      <c r="P20" s="6"/>
      <c r="Q20" s="6"/>
      <c r="R20" s="6"/>
      <c r="S20" s="6"/>
      <c r="T20" s="6"/>
      <c r="U20" s="6"/>
      <c r="V20" s="6"/>
      <c r="W20" s="6"/>
      <c r="X20" s="6"/>
      <c r="Y20" s="6"/>
      <c r="Z20" s="6"/>
    </row>
    <row r="21">
      <c r="A21" s="13" t="s">
        <v>12</v>
      </c>
      <c r="B21" s="19">
        <v>95590.5077</v>
      </c>
      <c r="C21" s="19">
        <v>96052.3693</v>
      </c>
      <c r="D21" s="19">
        <v>96052.3693</v>
      </c>
      <c r="E21" s="19">
        <v>96052.3693</v>
      </c>
      <c r="F21" s="19">
        <v>100523.1055</v>
      </c>
      <c r="G21" s="19">
        <v>101201.7824</v>
      </c>
      <c r="H21" s="19">
        <v>95627.1993</v>
      </c>
      <c r="I21" s="6"/>
      <c r="J21" s="6"/>
      <c r="K21" s="6"/>
      <c r="L21" s="6"/>
      <c r="M21" s="6"/>
      <c r="N21" s="6"/>
      <c r="O21" s="6"/>
      <c r="P21" s="6"/>
      <c r="Q21" s="6"/>
      <c r="R21" s="6"/>
      <c r="S21" s="6"/>
      <c r="T21" s="6"/>
      <c r="U21" s="6"/>
      <c r="V21" s="6"/>
      <c r="W21" s="6"/>
      <c r="X21" s="6"/>
      <c r="Y21" s="6"/>
      <c r="Z21" s="6"/>
    </row>
    <row r="22">
      <c r="A22" s="13" t="s">
        <v>13</v>
      </c>
      <c r="B22" s="19">
        <v>300592.5104</v>
      </c>
      <c r="C22" s="19">
        <v>301551.8773</v>
      </c>
      <c r="D22" s="19">
        <v>301551.8773</v>
      </c>
      <c r="E22" s="19">
        <v>301551.8773</v>
      </c>
      <c r="F22" s="19">
        <v>311341.6808</v>
      </c>
      <c r="G22" s="19">
        <v>307466.1595</v>
      </c>
      <c r="H22" s="19">
        <v>291334.1752</v>
      </c>
      <c r="I22" s="6"/>
      <c r="J22" s="6"/>
      <c r="K22" s="6"/>
      <c r="L22" s="6"/>
      <c r="M22" s="6"/>
      <c r="N22" s="6"/>
      <c r="O22" s="6"/>
      <c r="P22" s="6"/>
      <c r="Q22" s="6"/>
      <c r="R22" s="6"/>
      <c r="S22" s="6"/>
      <c r="T22" s="6"/>
      <c r="U22" s="6"/>
      <c r="V22" s="6"/>
      <c r="W22" s="6"/>
      <c r="X22" s="6"/>
      <c r="Y22" s="6"/>
      <c r="Z22" s="6"/>
    </row>
    <row r="23">
      <c r="A23" s="13" t="s">
        <v>14</v>
      </c>
      <c r="B23" s="19">
        <v>465443.5345</v>
      </c>
      <c r="C23" s="19">
        <v>466715.0462</v>
      </c>
      <c r="D23" s="19">
        <v>466715.0462</v>
      </c>
      <c r="E23" s="19">
        <v>466715.0462</v>
      </c>
      <c r="F23" s="19">
        <v>468400.5448</v>
      </c>
      <c r="G23" s="19">
        <v>477474.2327</v>
      </c>
      <c r="H23" s="19">
        <v>453618.2211</v>
      </c>
      <c r="I23" s="6"/>
      <c r="J23" s="6"/>
      <c r="K23" s="6"/>
      <c r="L23" s="6"/>
      <c r="M23" s="6"/>
      <c r="N23" s="6"/>
      <c r="O23" s="6"/>
      <c r="P23" s="6"/>
      <c r="Q23" s="6"/>
      <c r="R23" s="6"/>
      <c r="S23" s="6"/>
      <c r="T23" s="6"/>
      <c r="U23" s="6"/>
      <c r="V23" s="6"/>
      <c r="W23" s="6"/>
      <c r="X23" s="6"/>
      <c r="Y23" s="6"/>
      <c r="Z23" s="6"/>
    </row>
    <row r="24">
      <c r="A24" s="13" t="s">
        <v>15</v>
      </c>
      <c r="B24" s="19">
        <v>110431.0347</v>
      </c>
      <c r="C24" s="19">
        <v>110431.0347</v>
      </c>
      <c r="D24" s="19">
        <v>110431.0347</v>
      </c>
      <c r="E24" s="19">
        <v>110431.0347</v>
      </c>
      <c r="F24" s="19">
        <v>112341.5399</v>
      </c>
      <c r="G24" s="19">
        <v>115191.2694</v>
      </c>
      <c r="H24" s="19">
        <v>108526.9408</v>
      </c>
      <c r="I24" s="6"/>
      <c r="J24" s="6"/>
      <c r="K24" s="6"/>
      <c r="L24" s="6"/>
      <c r="M24" s="6"/>
      <c r="N24" s="6"/>
      <c r="O24" s="6"/>
      <c r="P24" s="6"/>
      <c r="Q24" s="6"/>
      <c r="R24" s="6"/>
      <c r="S24" s="6"/>
      <c r="T24" s="6"/>
      <c r="U24" s="6"/>
      <c r="V24" s="6"/>
      <c r="W24" s="6"/>
      <c r="X24" s="6"/>
      <c r="Y24" s="6"/>
      <c r="Z24" s="6"/>
    </row>
    <row r="25">
      <c r="A25" s="13" t="s">
        <v>16</v>
      </c>
      <c r="B25" s="19">
        <v>65519.9404</v>
      </c>
      <c r="C25" s="19">
        <v>65425.776</v>
      </c>
      <c r="D25" s="19">
        <v>65425.776</v>
      </c>
      <c r="E25" s="19">
        <v>65425.776</v>
      </c>
      <c r="F25" s="19">
        <v>65893.5762</v>
      </c>
      <c r="G25" s="19">
        <v>66528.9227</v>
      </c>
      <c r="H25" s="19">
        <v>63846.6891</v>
      </c>
      <c r="I25" s="6"/>
      <c r="J25" s="6"/>
      <c r="K25" s="6"/>
      <c r="L25" s="6"/>
      <c r="M25" s="6"/>
      <c r="N25" s="6"/>
      <c r="O25" s="6"/>
      <c r="P25" s="6"/>
      <c r="Q25" s="6"/>
      <c r="R25" s="6"/>
      <c r="S25" s="6"/>
      <c r="T25" s="6"/>
      <c r="U25" s="6"/>
      <c r="V25" s="6"/>
      <c r="W25" s="6"/>
      <c r="X25" s="6"/>
      <c r="Y25" s="6"/>
      <c r="Z25" s="6"/>
    </row>
    <row r="26">
      <c r="A26" s="15" t="s">
        <v>17</v>
      </c>
      <c r="B26" s="12">
        <f t="shared" ref="B26:I26" si="8">sum(B27:B32)</f>
        <v>528862.7721</v>
      </c>
      <c r="C26" s="12">
        <f t="shared" si="8"/>
        <v>529614.3131</v>
      </c>
      <c r="D26" s="12">
        <f t="shared" si="8"/>
        <v>529614.3131</v>
      </c>
      <c r="E26" s="12">
        <f t="shared" si="8"/>
        <v>529614.3131</v>
      </c>
      <c r="F26" s="12">
        <f t="shared" si="8"/>
        <v>552642.6909</v>
      </c>
      <c r="G26" s="12">
        <f t="shared" si="8"/>
        <v>552163.3151</v>
      </c>
      <c r="H26" s="12">
        <f t="shared" si="8"/>
        <v>1005858.519</v>
      </c>
      <c r="I26" s="12">
        <f t="shared" si="8"/>
        <v>0</v>
      </c>
      <c r="J26" s="6"/>
      <c r="K26" s="6"/>
      <c r="L26" s="6"/>
      <c r="M26" s="6"/>
      <c r="N26" s="6"/>
      <c r="O26" s="6"/>
      <c r="P26" s="6"/>
      <c r="Q26" s="6"/>
      <c r="R26" s="6"/>
      <c r="S26" s="6"/>
      <c r="T26" s="6"/>
      <c r="U26" s="6"/>
      <c r="V26" s="6"/>
      <c r="W26" s="6"/>
      <c r="X26" s="6"/>
      <c r="Y26" s="6"/>
      <c r="Z26" s="6"/>
    </row>
    <row r="27">
      <c r="A27" s="13" t="s">
        <v>18</v>
      </c>
      <c r="B27" s="19">
        <v>50000.0</v>
      </c>
      <c r="C27" s="19">
        <v>50000.0</v>
      </c>
      <c r="D27" s="19">
        <v>50000.0</v>
      </c>
      <c r="E27" s="19">
        <v>50000.0</v>
      </c>
      <c r="F27" s="19">
        <v>50000.0</v>
      </c>
      <c r="G27" s="19">
        <v>50000.0</v>
      </c>
      <c r="H27" s="19">
        <v>92500.0</v>
      </c>
      <c r="I27" s="6"/>
      <c r="J27" s="6"/>
      <c r="K27" s="6"/>
      <c r="L27" s="6"/>
      <c r="M27" s="6"/>
      <c r="N27" s="6"/>
      <c r="O27" s="6"/>
      <c r="P27" s="6"/>
      <c r="Q27" s="6"/>
      <c r="R27" s="6"/>
      <c r="S27" s="6"/>
      <c r="T27" s="6"/>
      <c r="U27" s="6"/>
      <c r="V27" s="6"/>
      <c r="W27" s="6"/>
      <c r="X27" s="6"/>
      <c r="Y27" s="6"/>
      <c r="Z27" s="6"/>
    </row>
    <row r="28">
      <c r="A28" s="13" t="s">
        <v>19</v>
      </c>
      <c r="B28" s="19">
        <v>300000.0</v>
      </c>
      <c r="C28" s="19">
        <v>300000.0</v>
      </c>
      <c r="D28" s="19">
        <v>300000.0</v>
      </c>
      <c r="E28" s="19">
        <v>300000.0</v>
      </c>
      <c r="F28" s="19">
        <v>300000.0</v>
      </c>
      <c r="G28" s="19">
        <v>300000.0</v>
      </c>
      <c r="H28" s="19">
        <v>660000.0</v>
      </c>
      <c r="I28" s="6"/>
      <c r="J28" s="6"/>
      <c r="K28" s="6"/>
      <c r="L28" s="6"/>
      <c r="M28" s="6"/>
      <c r="N28" s="6"/>
      <c r="O28" s="6"/>
      <c r="P28" s="6"/>
      <c r="Q28" s="6"/>
      <c r="R28" s="6"/>
      <c r="S28" s="6"/>
      <c r="T28" s="6"/>
      <c r="U28" s="6"/>
      <c r="V28" s="6"/>
      <c r="W28" s="6"/>
      <c r="X28" s="6"/>
      <c r="Y28" s="6"/>
      <c r="Z28" s="6"/>
    </row>
    <row r="29">
      <c r="A29" s="13" t="s">
        <v>20</v>
      </c>
      <c r="B29" s="19">
        <v>4206.3164</v>
      </c>
      <c r="C29" s="19">
        <v>4417.2878</v>
      </c>
      <c r="D29" s="19">
        <v>4417.2878</v>
      </c>
      <c r="E29" s="19">
        <v>4417.2878</v>
      </c>
      <c r="F29" s="19">
        <v>6704.0833</v>
      </c>
      <c r="G29" s="19">
        <v>1640.9733</v>
      </c>
      <c r="H29" s="19">
        <v>6157.6599</v>
      </c>
      <c r="I29" s="6"/>
      <c r="J29" s="6"/>
      <c r="K29" s="6"/>
      <c r="L29" s="6"/>
      <c r="M29" s="6"/>
      <c r="N29" s="6"/>
      <c r="O29" s="6"/>
      <c r="P29" s="6"/>
      <c r="Q29" s="6"/>
      <c r="R29" s="6"/>
      <c r="S29" s="6"/>
      <c r="T29" s="6"/>
      <c r="U29" s="6"/>
      <c r="V29" s="6"/>
      <c r="W29" s="6"/>
      <c r="X29" s="6"/>
      <c r="Y29" s="6"/>
      <c r="Z29" s="6"/>
    </row>
    <row r="30">
      <c r="A30" s="13" t="s">
        <v>21</v>
      </c>
      <c r="B30" s="19">
        <v>0.0</v>
      </c>
      <c r="C30" s="19">
        <v>0.0</v>
      </c>
      <c r="D30" s="19">
        <v>0.0</v>
      </c>
      <c r="E30" s="19">
        <v>0.0</v>
      </c>
      <c r="F30" s="19">
        <v>0.0</v>
      </c>
      <c r="G30" s="19">
        <v>0.0</v>
      </c>
      <c r="H30" s="19">
        <v>12.6731</v>
      </c>
      <c r="I30" s="6"/>
      <c r="J30" s="6"/>
      <c r="K30" s="6"/>
      <c r="L30" s="6"/>
      <c r="M30" s="6"/>
      <c r="N30" s="6"/>
      <c r="O30" s="6"/>
      <c r="P30" s="6"/>
      <c r="Q30" s="6"/>
      <c r="R30" s="6"/>
      <c r="S30" s="6"/>
      <c r="T30" s="6"/>
      <c r="U30" s="6"/>
      <c r="V30" s="6"/>
      <c r="W30" s="6"/>
      <c r="X30" s="6"/>
      <c r="Y30" s="6"/>
      <c r="Z30" s="6"/>
    </row>
    <row r="31">
      <c r="A31" s="13" t="s">
        <v>22</v>
      </c>
      <c r="B31" s="19">
        <v>31250.0</v>
      </c>
      <c r="C31" s="19">
        <v>31250.0</v>
      </c>
      <c r="D31" s="19">
        <v>31250.0</v>
      </c>
      <c r="E31" s="19">
        <v>31250.0</v>
      </c>
      <c r="F31" s="19">
        <v>31250.0</v>
      </c>
      <c r="G31" s="19">
        <v>31250.0</v>
      </c>
      <c r="H31" s="19">
        <v>56250.0</v>
      </c>
      <c r="I31" s="6"/>
      <c r="J31" s="6"/>
      <c r="K31" s="6"/>
      <c r="L31" s="6"/>
      <c r="M31" s="6"/>
      <c r="N31" s="6"/>
      <c r="O31" s="6"/>
      <c r="P31" s="6"/>
      <c r="Q31" s="6"/>
      <c r="R31" s="6"/>
      <c r="S31" s="6"/>
      <c r="T31" s="6"/>
      <c r="U31" s="6"/>
      <c r="V31" s="6"/>
      <c r="W31" s="6"/>
      <c r="X31" s="6"/>
      <c r="Y31" s="6"/>
      <c r="Z31" s="6"/>
    </row>
    <row r="32">
      <c r="A32" s="13" t="s">
        <v>23</v>
      </c>
      <c r="B32" s="19">
        <v>143406.4557</v>
      </c>
      <c r="C32" s="19">
        <v>143947.0253</v>
      </c>
      <c r="D32" s="19">
        <v>143947.0253</v>
      </c>
      <c r="E32" s="19">
        <v>143947.0253</v>
      </c>
      <c r="F32" s="19">
        <v>164688.6076</v>
      </c>
      <c r="G32" s="19">
        <v>169272.3418</v>
      </c>
      <c r="H32" s="19">
        <v>190938.1857</v>
      </c>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ht="27.0" customHeight="1">
      <c r="A37" s="17" t="s">
        <v>24</v>
      </c>
      <c r="B37" s="10">
        <f t="shared" ref="B37:I37" si="9">B18-B38</f>
        <v>-180777.8192</v>
      </c>
      <c r="C37" s="10">
        <f t="shared" si="9"/>
        <v>-153820.6351</v>
      </c>
      <c r="D37" s="10">
        <f t="shared" si="9"/>
        <v>-153820.6351</v>
      </c>
      <c r="E37" s="10">
        <f t="shared" si="9"/>
        <v>-153820.6351</v>
      </c>
      <c r="F37" s="10">
        <f t="shared" si="9"/>
        <v>-272024.8703</v>
      </c>
      <c r="G37" s="10">
        <f t="shared" si="9"/>
        <v>101631.8359</v>
      </c>
      <c r="H37" s="10">
        <f t="shared" si="9"/>
        <v>-974755.9029</v>
      </c>
      <c r="I37" s="10">
        <f t="shared" si="9"/>
        <v>-170034.7779</v>
      </c>
      <c r="J37" s="6"/>
      <c r="K37" s="6"/>
      <c r="L37" s="6"/>
      <c r="M37" s="6"/>
      <c r="N37" s="6"/>
      <c r="O37" s="6"/>
      <c r="P37" s="6"/>
      <c r="Q37" s="6"/>
      <c r="R37" s="6"/>
      <c r="S37" s="6"/>
      <c r="T37" s="6"/>
      <c r="U37" s="6"/>
      <c r="V37" s="6"/>
      <c r="W37" s="6"/>
      <c r="X37" s="6"/>
      <c r="Y37" s="6"/>
      <c r="Z37" s="6"/>
    </row>
    <row r="38">
      <c r="A38" s="15" t="s">
        <v>25</v>
      </c>
      <c r="B38" s="18">
        <f t="shared" ref="B38:I38" si="10">sum(B39,B44,B56,B65,B74,B76,B80 )</f>
        <v>1105974.287</v>
      </c>
      <c r="C38" s="18">
        <f t="shared" si="10"/>
        <v>1110093.268</v>
      </c>
      <c r="D38" s="18">
        <f t="shared" si="10"/>
        <v>1110093.268</v>
      </c>
      <c r="E38" s="18">
        <f t="shared" si="10"/>
        <v>1110093.268</v>
      </c>
      <c r="F38" s="18">
        <f t="shared" si="10"/>
        <v>1104186.296</v>
      </c>
      <c r="G38" s="18">
        <f t="shared" si="10"/>
        <v>1116460.596</v>
      </c>
      <c r="H38" s="18">
        <f t="shared" si="10"/>
        <v>1112990.651</v>
      </c>
      <c r="I38" s="18">
        <f t="shared" si="10"/>
        <v>170034.7779</v>
      </c>
      <c r="J38" s="6"/>
      <c r="K38" s="6"/>
      <c r="L38" s="6"/>
      <c r="M38" s="6"/>
      <c r="N38" s="6"/>
      <c r="O38" s="6"/>
      <c r="P38" s="6"/>
      <c r="Q38" s="6"/>
      <c r="R38" s="6"/>
      <c r="S38" s="6"/>
      <c r="T38" s="6"/>
      <c r="U38" s="6"/>
      <c r="V38" s="6"/>
      <c r="W38" s="6"/>
      <c r="X38" s="6"/>
      <c r="Y38" s="6"/>
      <c r="Z38" s="6"/>
    </row>
    <row r="39">
      <c r="A39" s="15" t="s">
        <v>26</v>
      </c>
      <c r="B39" s="12">
        <f t="shared" ref="B39:I39" si="11">sum(B40:B42)</f>
        <v>340384.8979</v>
      </c>
      <c r="C39" s="12">
        <f t="shared" si="11"/>
        <v>340986.4326</v>
      </c>
      <c r="D39" s="12">
        <f t="shared" si="11"/>
        <v>340986.4326</v>
      </c>
      <c r="E39" s="12">
        <f t="shared" si="11"/>
        <v>340986.4326</v>
      </c>
      <c r="F39" s="12">
        <f t="shared" si="11"/>
        <v>365355.4552</v>
      </c>
      <c r="G39" s="12">
        <f t="shared" si="11"/>
        <v>344365.1061</v>
      </c>
      <c r="H39" s="12">
        <f t="shared" si="11"/>
        <v>349614.1946</v>
      </c>
      <c r="I39" s="12">
        <f t="shared" si="11"/>
        <v>0</v>
      </c>
      <c r="J39" s="6"/>
      <c r="K39" s="6"/>
      <c r="L39" s="6"/>
      <c r="M39" s="6"/>
      <c r="N39" s="6"/>
      <c r="O39" s="6"/>
      <c r="P39" s="6"/>
      <c r="Q39" s="6"/>
      <c r="R39" s="6"/>
      <c r="S39" s="6"/>
      <c r="T39" s="6"/>
      <c r="U39" s="6"/>
      <c r="V39" s="6"/>
      <c r="W39" s="6"/>
      <c r="X39" s="6"/>
      <c r="Y39" s="6"/>
      <c r="Z39" s="6"/>
    </row>
    <row r="40">
      <c r="A40" s="13" t="s">
        <v>27</v>
      </c>
      <c r="B40" s="19">
        <v>151594.6734</v>
      </c>
      <c r="C40" s="19">
        <v>152233.7349</v>
      </c>
      <c r="D40" s="19">
        <v>152233.7349</v>
      </c>
      <c r="E40" s="19">
        <v>152233.7349</v>
      </c>
      <c r="F40" s="19">
        <v>154798.8841</v>
      </c>
      <c r="G40" s="19">
        <v>154616.6318</v>
      </c>
      <c r="H40" s="19">
        <v>147546.2759</v>
      </c>
      <c r="I40" s="6"/>
      <c r="J40" s="6"/>
      <c r="K40" s="6"/>
      <c r="L40" s="6"/>
      <c r="M40" s="6"/>
      <c r="N40" s="6"/>
      <c r="O40" s="6"/>
      <c r="P40" s="6"/>
      <c r="Q40" s="6"/>
      <c r="R40" s="6"/>
      <c r="S40" s="6"/>
      <c r="T40" s="6"/>
      <c r="U40" s="6"/>
      <c r="V40" s="6"/>
      <c r="W40" s="6"/>
      <c r="X40" s="6"/>
      <c r="Y40" s="6"/>
      <c r="Z40" s="6"/>
    </row>
    <row r="41">
      <c r="A41" s="13" t="s">
        <v>28</v>
      </c>
      <c r="B41" s="19">
        <v>25230.5</v>
      </c>
      <c r="C41" s="19">
        <v>25192.9732</v>
      </c>
      <c r="D41" s="19">
        <v>25192.9732</v>
      </c>
      <c r="E41" s="19">
        <v>25192.9732</v>
      </c>
      <c r="F41" s="19">
        <v>42578.2718</v>
      </c>
      <c r="G41" s="19">
        <v>46433.7858</v>
      </c>
      <c r="H41" s="19">
        <v>44817.4464</v>
      </c>
      <c r="I41" s="6"/>
      <c r="J41" s="6"/>
      <c r="K41" s="6"/>
      <c r="L41" s="6"/>
      <c r="M41" s="6"/>
      <c r="N41" s="6"/>
      <c r="O41" s="6"/>
      <c r="P41" s="6"/>
      <c r="Q41" s="6"/>
      <c r="R41" s="6"/>
      <c r="S41" s="6"/>
      <c r="T41" s="6"/>
      <c r="U41" s="6"/>
      <c r="V41" s="6"/>
      <c r="W41" s="6"/>
      <c r="X41" s="6"/>
      <c r="Y41" s="6"/>
      <c r="Z41" s="6"/>
    </row>
    <row r="42">
      <c r="A42" s="13" t="s">
        <v>29</v>
      </c>
      <c r="B42" s="19">
        <v>163559.7245</v>
      </c>
      <c r="C42" s="19">
        <v>163559.7245</v>
      </c>
      <c r="D42" s="19">
        <v>163559.7245</v>
      </c>
      <c r="E42" s="19">
        <v>163559.7245</v>
      </c>
      <c r="F42" s="19">
        <v>167978.2993</v>
      </c>
      <c r="G42" s="19">
        <v>143314.6885</v>
      </c>
      <c r="H42" s="19">
        <v>157250.4723</v>
      </c>
      <c r="I42" s="6"/>
      <c r="J42" s="6"/>
      <c r="K42" s="6"/>
      <c r="L42" s="6"/>
      <c r="M42" s="6"/>
      <c r="N42" s="6"/>
      <c r="O42" s="6"/>
      <c r="P42" s="6"/>
      <c r="Q42" s="6"/>
      <c r="R42" s="6"/>
      <c r="S42" s="6"/>
      <c r="T42" s="6"/>
      <c r="U42" s="6"/>
      <c r="V42" s="6"/>
      <c r="W42" s="6"/>
      <c r="X42" s="6"/>
      <c r="Y42" s="6"/>
      <c r="Z42" s="6"/>
    </row>
    <row r="43">
      <c r="A43" s="20"/>
      <c r="B43" s="21"/>
      <c r="C43" s="21"/>
      <c r="D43" s="21"/>
      <c r="E43" s="21"/>
      <c r="F43" s="21"/>
      <c r="G43" s="21"/>
      <c r="H43" s="22"/>
      <c r="I43" s="6"/>
      <c r="J43" s="6"/>
      <c r="K43" s="6"/>
      <c r="L43" s="6"/>
      <c r="M43" s="6"/>
      <c r="N43" s="6"/>
      <c r="O43" s="6"/>
      <c r="P43" s="6"/>
      <c r="Q43" s="6"/>
      <c r="R43" s="6"/>
      <c r="S43" s="6"/>
      <c r="T43" s="6"/>
      <c r="U43" s="6"/>
      <c r="V43" s="6"/>
      <c r="W43" s="6"/>
      <c r="X43" s="6"/>
      <c r="Y43" s="6"/>
      <c r="Z43" s="6"/>
    </row>
    <row r="44">
      <c r="A44" s="15" t="s">
        <v>30</v>
      </c>
      <c r="B44" s="12">
        <f t="shared" ref="B44:I44" si="12">sum(B45,B48,B53 )</f>
        <v>310210.2815</v>
      </c>
      <c r="C44" s="12">
        <f t="shared" si="12"/>
        <v>313060.4529</v>
      </c>
      <c r="D44" s="12">
        <f t="shared" si="12"/>
        <v>313060.4529</v>
      </c>
      <c r="E44" s="12">
        <f t="shared" si="12"/>
        <v>313060.4529</v>
      </c>
      <c r="F44" s="12">
        <f t="shared" si="12"/>
        <v>299358.094</v>
      </c>
      <c r="G44" s="12">
        <f t="shared" si="12"/>
        <v>308092.8965</v>
      </c>
      <c r="H44" s="12">
        <f t="shared" si="12"/>
        <v>287498.6747</v>
      </c>
      <c r="I44" s="12">
        <f t="shared" si="12"/>
        <v>0</v>
      </c>
      <c r="J44" s="6"/>
      <c r="K44" s="6"/>
      <c r="L44" s="6"/>
      <c r="M44" s="6"/>
      <c r="N44" s="6"/>
      <c r="O44" s="6"/>
      <c r="P44" s="6"/>
      <c r="Q44" s="6"/>
      <c r="R44" s="6"/>
      <c r="S44" s="6"/>
      <c r="T44" s="6"/>
      <c r="U44" s="6"/>
      <c r="V44" s="6"/>
      <c r="W44" s="6"/>
      <c r="X44" s="6"/>
      <c r="Y44" s="6"/>
      <c r="Z44" s="6"/>
    </row>
    <row r="45">
      <c r="A45" s="23" t="s">
        <v>31</v>
      </c>
      <c r="B45" s="24">
        <f t="shared" ref="B45:H45" si="13">sum(B46:B47)</f>
        <v>24781.9346</v>
      </c>
      <c r="C45" s="24">
        <f t="shared" si="13"/>
        <v>25279.5105</v>
      </c>
      <c r="D45" s="24">
        <f t="shared" si="13"/>
        <v>25279.5105</v>
      </c>
      <c r="E45" s="24">
        <f t="shared" si="13"/>
        <v>25279.5105</v>
      </c>
      <c r="F45" s="24">
        <f t="shared" si="13"/>
        <v>13382.9764</v>
      </c>
      <c r="G45" s="24">
        <f t="shared" si="13"/>
        <v>22527.9456</v>
      </c>
      <c r="H45" s="24">
        <f t="shared" si="13"/>
        <v>19529.8793</v>
      </c>
      <c r="I45" s="6"/>
      <c r="J45" s="6"/>
      <c r="K45" s="6"/>
      <c r="L45" s="6"/>
      <c r="M45" s="6"/>
      <c r="N45" s="6"/>
      <c r="O45" s="6"/>
      <c r="P45" s="6"/>
      <c r="Q45" s="6"/>
      <c r="R45" s="6"/>
      <c r="S45" s="6"/>
      <c r="T45" s="6"/>
      <c r="U45" s="6"/>
      <c r="V45" s="6"/>
      <c r="W45" s="6"/>
      <c r="X45" s="6"/>
      <c r="Y45" s="6"/>
      <c r="Z45" s="6"/>
    </row>
    <row r="46">
      <c r="A46" s="13" t="s">
        <v>32</v>
      </c>
      <c r="B46" s="19">
        <v>12432.9585</v>
      </c>
      <c r="C46" s="19">
        <v>12665.8111</v>
      </c>
      <c r="D46" s="19">
        <v>12665.8111</v>
      </c>
      <c r="E46" s="19">
        <v>12665.8111</v>
      </c>
      <c r="F46" s="19">
        <v>7119.1799</v>
      </c>
      <c r="G46" s="19">
        <v>8804.7321</v>
      </c>
      <c r="H46" s="19">
        <v>6082.9064</v>
      </c>
      <c r="I46" s="6"/>
      <c r="J46" s="6"/>
      <c r="K46" s="6"/>
      <c r="L46" s="6"/>
      <c r="M46" s="6"/>
      <c r="N46" s="6"/>
      <c r="O46" s="6"/>
      <c r="P46" s="6"/>
      <c r="Q46" s="6"/>
      <c r="R46" s="6"/>
      <c r="S46" s="6"/>
      <c r="T46" s="6"/>
      <c r="U46" s="6"/>
      <c r="V46" s="6"/>
      <c r="W46" s="6"/>
      <c r="X46" s="6"/>
      <c r="Y46" s="6"/>
      <c r="Z46" s="6"/>
    </row>
    <row r="47">
      <c r="A47" s="13" t="s">
        <v>33</v>
      </c>
      <c r="B47" s="19">
        <v>12348.9761</v>
      </c>
      <c r="C47" s="19">
        <v>12613.6994</v>
      </c>
      <c r="D47" s="19">
        <v>12613.6994</v>
      </c>
      <c r="E47" s="19">
        <v>12613.6994</v>
      </c>
      <c r="F47" s="19">
        <v>6263.7965</v>
      </c>
      <c r="G47" s="19">
        <v>13723.2135</v>
      </c>
      <c r="H47" s="19">
        <v>13446.9729</v>
      </c>
      <c r="I47" s="6"/>
      <c r="J47" s="6"/>
      <c r="K47" s="6"/>
      <c r="L47" s="6"/>
      <c r="M47" s="6"/>
      <c r="N47" s="6"/>
      <c r="O47" s="6"/>
      <c r="P47" s="6"/>
      <c r="Q47" s="6"/>
      <c r="R47" s="6"/>
      <c r="S47" s="6"/>
      <c r="T47" s="6"/>
      <c r="U47" s="6"/>
      <c r="V47" s="6"/>
      <c r="W47" s="6"/>
      <c r="X47" s="6"/>
      <c r="Y47" s="6"/>
      <c r="Z47" s="6"/>
    </row>
    <row r="48">
      <c r="A48" s="23" t="s">
        <v>34</v>
      </c>
      <c r="B48" s="24">
        <f t="shared" ref="B48:H48" si="14">sum(B49:B52)</f>
        <v>255409.7389</v>
      </c>
      <c r="C48" s="24">
        <f t="shared" si="14"/>
        <v>256107.4046</v>
      </c>
      <c r="D48" s="24">
        <f t="shared" si="14"/>
        <v>256107.4046</v>
      </c>
      <c r="E48" s="24">
        <f t="shared" si="14"/>
        <v>256107.4046</v>
      </c>
      <c r="F48" s="24">
        <f t="shared" si="14"/>
        <v>248000</v>
      </c>
      <c r="G48" s="24">
        <f t="shared" si="14"/>
        <v>248000</v>
      </c>
      <c r="H48" s="24">
        <f t="shared" si="14"/>
        <v>248000</v>
      </c>
      <c r="I48" s="6"/>
      <c r="J48" s="6"/>
      <c r="K48" s="6"/>
      <c r="L48" s="6"/>
      <c r="M48" s="6"/>
      <c r="N48" s="6"/>
      <c r="O48" s="6"/>
      <c r="P48" s="6"/>
      <c r="Q48" s="6"/>
      <c r="R48" s="6"/>
      <c r="S48" s="6"/>
      <c r="T48" s="6"/>
      <c r="U48" s="6"/>
      <c r="V48" s="6"/>
      <c r="W48" s="6"/>
      <c r="X48" s="6"/>
      <c r="Y48" s="6"/>
      <c r="Z48" s="6"/>
    </row>
    <row r="49">
      <c r="A49" s="13" t="s">
        <v>35</v>
      </c>
      <c r="B49" s="19">
        <v>90000.0</v>
      </c>
      <c r="C49" s="19">
        <v>90000.0</v>
      </c>
      <c r="D49" s="19">
        <v>90000.0</v>
      </c>
      <c r="E49" s="19">
        <v>90000.0</v>
      </c>
      <c r="F49" s="19">
        <v>90000.0</v>
      </c>
      <c r="G49" s="19">
        <v>90000.0</v>
      </c>
      <c r="H49" s="19">
        <v>90000.0</v>
      </c>
      <c r="I49" s="6"/>
      <c r="J49" s="6"/>
      <c r="K49" s="6"/>
      <c r="L49" s="6"/>
      <c r="M49" s="6"/>
      <c r="N49" s="6"/>
      <c r="O49" s="6"/>
      <c r="P49" s="6"/>
      <c r="Q49" s="6"/>
      <c r="R49" s="6"/>
      <c r="S49" s="6"/>
      <c r="T49" s="6"/>
      <c r="U49" s="6"/>
      <c r="V49" s="6"/>
      <c r="W49" s="6"/>
      <c r="X49" s="6"/>
      <c r="Y49" s="6"/>
      <c r="Z49" s="6"/>
    </row>
    <row r="50">
      <c r="A50" s="13" t="s">
        <v>36</v>
      </c>
      <c r="B50" s="19">
        <v>7409.7389</v>
      </c>
      <c r="C50" s="19">
        <v>8107.4046</v>
      </c>
      <c r="D50" s="19">
        <v>8107.4046</v>
      </c>
      <c r="E50" s="19">
        <v>8107.4046</v>
      </c>
      <c r="F50" s="19">
        <v>0.0</v>
      </c>
      <c r="G50" s="19">
        <v>0.0</v>
      </c>
      <c r="H50" s="19">
        <v>0.0</v>
      </c>
      <c r="I50" s="6"/>
      <c r="J50" s="6"/>
      <c r="K50" s="6"/>
      <c r="L50" s="6"/>
      <c r="M50" s="6"/>
      <c r="N50" s="6"/>
      <c r="O50" s="6"/>
      <c r="P50" s="6"/>
      <c r="Q50" s="6"/>
      <c r="R50" s="6"/>
      <c r="S50" s="6"/>
      <c r="T50" s="6"/>
      <c r="U50" s="6"/>
      <c r="V50" s="6"/>
      <c r="W50" s="6"/>
      <c r="X50" s="6"/>
      <c r="Y50" s="6"/>
      <c r="Z50" s="6"/>
    </row>
    <row r="51">
      <c r="A51" s="13" t="s">
        <v>37</v>
      </c>
      <c r="B51" s="19">
        <v>8000.0</v>
      </c>
      <c r="C51" s="19">
        <v>8000.0</v>
      </c>
      <c r="D51" s="19">
        <v>8000.0</v>
      </c>
      <c r="E51" s="19">
        <v>8000.0</v>
      </c>
      <c r="F51" s="19">
        <v>8000.0</v>
      </c>
      <c r="G51" s="19">
        <v>8000.0</v>
      </c>
      <c r="H51" s="19">
        <v>8000.0</v>
      </c>
      <c r="I51" s="6"/>
      <c r="J51" s="6"/>
      <c r="K51" s="6"/>
      <c r="L51" s="6"/>
      <c r="M51" s="6"/>
      <c r="N51" s="6"/>
      <c r="O51" s="6"/>
      <c r="P51" s="6"/>
      <c r="Q51" s="6"/>
      <c r="R51" s="6"/>
      <c r="S51" s="6"/>
      <c r="T51" s="6"/>
      <c r="U51" s="6"/>
      <c r="V51" s="6"/>
      <c r="W51" s="6"/>
      <c r="X51" s="6"/>
      <c r="Y51" s="6"/>
      <c r="Z51" s="6"/>
    </row>
    <row r="52">
      <c r="A52" s="13" t="s">
        <v>38</v>
      </c>
      <c r="B52" s="19">
        <v>150000.0</v>
      </c>
      <c r="C52" s="19">
        <v>150000.0</v>
      </c>
      <c r="D52" s="19">
        <v>150000.0</v>
      </c>
      <c r="E52" s="19">
        <v>150000.0</v>
      </c>
      <c r="F52" s="19">
        <v>150000.0</v>
      </c>
      <c r="G52" s="19">
        <v>150000.0</v>
      </c>
      <c r="H52" s="19">
        <v>150000.0</v>
      </c>
      <c r="I52" s="6"/>
      <c r="J52" s="6"/>
      <c r="K52" s="6"/>
      <c r="L52" s="6"/>
      <c r="M52" s="6"/>
      <c r="N52" s="6"/>
      <c r="O52" s="6"/>
      <c r="P52" s="6"/>
      <c r="Q52" s="6"/>
      <c r="R52" s="6"/>
      <c r="S52" s="6"/>
      <c r="T52" s="6"/>
      <c r="U52" s="6"/>
      <c r="V52" s="6"/>
      <c r="W52" s="6"/>
      <c r="X52" s="6"/>
      <c r="Y52" s="6"/>
      <c r="Z52" s="6"/>
    </row>
    <row r="53">
      <c r="A53" s="23" t="s">
        <v>39</v>
      </c>
      <c r="B53" s="24">
        <f t="shared" ref="B53:H53" si="15">B54</f>
        <v>30018.608</v>
      </c>
      <c r="C53" s="24">
        <f t="shared" si="15"/>
        <v>31673.5378</v>
      </c>
      <c r="D53" s="24">
        <f t="shared" si="15"/>
        <v>31673.5378</v>
      </c>
      <c r="E53" s="24">
        <f t="shared" si="15"/>
        <v>31673.5378</v>
      </c>
      <c r="F53" s="24">
        <f t="shared" si="15"/>
        <v>37975.1176</v>
      </c>
      <c r="G53" s="24">
        <f t="shared" si="15"/>
        <v>37564.9509</v>
      </c>
      <c r="H53" s="24">
        <f t="shared" si="15"/>
        <v>19968.7954</v>
      </c>
      <c r="I53" s="6"/>
      <c r="J53" s="6"/>
      <c r="K53" s="6"/>
      <c r="L53" s="6"/>
      <c r="M53" s="6"/>
      <c r="N53" s="6"/>
      <c r="O53" s="6"/>
      <c r="P53" s="6"/>
      <c r="Q53" s="6"/>
      <c r="R53" s="6"/>
      <c r="S53" s="6"/>
      <c r="T53" s="6"/>
      <c r="U53" s="6"/>
      <c r="V53" s="6"/>
      <c r="W53" s="6"/>
      <c r="X53" s="6"/>
      <c r="Y53" s="6"/>
      <c r="Z53" s="6"/>
    </row>
    <row r="54">
      <c r="A54" s="13" t="s">
        <v>40</v>
      </c>
      <c r="B54" s="19">
        <v>30018.608</v>
      </c>
      <c r="C54" s="19">
        <v>31673.5378</v>
      </c>
      <c r="D54" s="19">
        <v>31673.5378</v>
      </c>
      <c r="E54" s="19">
        <v>31673.5378</v>
      </c>
      <c r="F54" s="19">
        <v>37975.1176</v>
      </c>
      <c r="G54" s="19">
        <v>37564.9509</v>
      </c>
      <c r="H54" s="19">
        <v>19968.7954</v>
      </c>
      <c r="I54" s="6"/>
      <c r="J54" s="6"/>
      <c r="K54" s="6"/>
      <c r="L54" s="6"/>
      <c r="M54" s="6"/>
      <c r="N54" s="6"/>
      <c r="O54" s="6"/>
      <c r="P54" s="6"/>
      <c r="Q54" s="6"/>
      <c r="R54" s="6"/>
      <c r="S54" s="6"/>
      <c r="T54" s="6"/>
      <c r="U54" s="6"/>
      <c r="V54" s="6"/>
      <c r="W54" s="6"/>
      <c r="X54" s="6"/>
      <c r="Y54" s="6"/>
      <c r="Z54" s="6"/>
    </row>
    <row r="55">
      <c r="A55" s="20"/>
      <c r="B55" s="21"/>
      <c r="C55" s="21"/>
      <c r="D55" s="21"/>
      <c r="E55" s="21"/>
      <c r="F55" s="21"/>
      <c r="G55" s="21"/>
      <c r="H55" s="22"/>
      <c r="I55" s="6"/>
      <c r="J55" s="6"/>
      <c r="K55" s="6"/>
      <c r="L55" s="6"/>
      <c r="M55" s="6"/>
      <c r="N55" s="6"/>
      <c r="O55" s="6"/>
      <c r="P55" s="6"/>
      <c r="Q55" s="6"/>
      <c r="R55" s="6"/>
      <c r="S55" s="6"/>
      <c r="T55" s="6"/>
      <c r="U55" s="6"/>
      <c r="V55" s="6"/>
      <c r="W55" s="6"/>
      <c r="X55" s="6"/>
      <c r="Y55" s="6"/>
      <c r="Z55" s="6"/>
    </row>
    <row r="56">
      <c r="A56" s="15" t="s">
        <v>41</v>
      </c>
      <c r="B56" s="12">
        <f t="shared" ref="B56:I56" si="16">sum(B57,B61)</f>
        <v>141516.6679</v>
      </c>
      <c r="C56" s="12">
        <f t="shared" si="16"/>
        <v>142196.7939</v>
      </c>
      <c r="D56" s="12">
        <f t="shared" si="16"/>
        <v>142196.7939</v>
      </c>
      <c r="E56" s="12">
        <f t="shared" si="16"/>
        <v>142196.7939</v>
      </c>
      <c r="F56" s="12">
        <f t="shared" si="16"/>
        <v>121909.8125</v>
      </c>
      <c r="G56" s="12">
        <f t="shared" si="16"/>
        <v>125977.5277</v>
      </c>
      <c r="H56" s="12">
        <f t="shared" si="16"/>
        <v>126547.8521</v>
      </c>
      <c r="I56" s="12">
        <f t="shared" si="16"/>
        <v>0</v>
      </c>
      <c r="J56" s="6"/>
      <c r="K56" s="6"/>
      <c r="L56" s="6"/>
      <c r="M56" s="6"/>
      <c r="N56" s="6"/>
      <c r="O56" s="6"/>
      <c r="P56" s="6"/>
      <c r="Q56" s="6"/>
      <c r="R56" s="6"/>
      <c r="S56" s="6"/>
      <c r="T56" s="6"/>
      <c r="U56" s="6"/>
      <c r="V56" s="6"/>
      <c r="W56" s="6"/>
      <c r="X56" s="6"/>
      <c r="Y56" s="6"/>
      <c r="Z56" s="6"/>
    </row>
    <row r="57">
      <c r="A57" s="23" t="s">
        <v>42</v>
      </c>
      <c r="B57" s="24">
        <f t="shared" ref="B57:H57" si="17">sum(B58:B60)</f>
        <v>73950.6926</v>
      </c>
      <c r="C57" s="24">
        <f t="shared" si="17"/>
        <v>74488.0877</v>
      </c>
      <c r="D57" s="24">
        <f t="shared" si="17"/>
        <v>74488.0877</v>
      </c>
      <c r="E57" s="24">
        <f t="shared" si="17"/>
        <v>74488.0877</v>
      </c>
      <c r="F57" s="24">
        <f t="shared" si="17"/>
        <v>52341.9475</v>
      </c>
      <c r="G57" s="24">
        <f t="shared" si="17"/>
        <v>61247.4216</v>
      </c>
      <c r="H57" s="24">
        <f t="shared" si="17"/>
        <v>59890.2889</v>
      </c>
      <c r="I57" s="6"/>
      <c r="J57" s="6"/>
      <c r="K57" s="6"/>
      <c r="L57" s="6"/>
      <c r="M57" s="6"/>
      <c r="N57" s="6"/>
      <c r="O57" s="6"/>
      <c r="P57" s="6"/>
      <c r="Q57" s="6"/>
      <c r="R57" s="6"/>
      <c r="S57" s="6"/>
      <c r="T57" s="6"/>
      <c r="U57" s="6"/>
      <c r="V57" s="6"/>
      <c r="W57" s="6"/>
      <c r="X57" s="6"/>
      <c r="Y57" s="6"/>
      <c r="Z57" s="6"/>
    </row>
    <row r="58">
      <c r="A58" s="13" t="s">
        <v>43</v>
      </c>
      <c r="B58" s="19">
        <v>20000.0</v>
      </c>
      <c r="C58" s="19">
        <v>20000.0</v>
      </c>
      <c r="D58" s="19">
        <v>20000.0</v>
      </c>
      <c r="E58" s="19">
        <v>20000.0</v>
      </c>
      <c r="F58" s="19">
        <v>20000.0</v>
      </c>
      <c r="G58" s="19">
        <v>40000.0</v>
      </c>
      <c r="H58" s="19">
        <v>40000.0</v>
      </c>
      <c r="I58" s="6"/>
      <c r="J58" s="6"/>
      <c r="K58" s="6"/>
      <c r="L58" s="6"/>
      <c r="M58" s="6"/>
      <c r="N58" s="6"/>
      <c r="O58" s="6"/>
      <c r="P58" s="6"/>
      <c r="Q58" s="6"/>
      <c r="R58" s="6"/>
      <c r="S58" s="6"/>
      <c r="T58" s="6"/>
      <c r="U58" s="6"/>
      <c r="V58" s="6"/>
      <c r="W58" s="6"/>
      <c r="X58" s="6"/>
      <c r="Y58" s="6"/>
      <c r="Z58" s="6"/>
    </row>
    <row r="59">
      <c r="A59" s="13" t="s">
        <v>44</v>
      </c>
      <c r="B59" s="19">
        <v>53950.6926</v>
      </c>
      <c r="C59" s="19">
        <v>54488.0877</v>
      </c>
      <c r="D59" s="19">
        <v>54488.0877</v>
      </c>
      <c r="E59" s="19">
        <v>54488.0877</v>
      </c>
      <c r="F59" s="19">
        <v>32341.9475</v>
      </c>
      <c r="G59" s="19">
        <v>18810.4656</v>
      </c>
      <c r="H59" s="19">
        <v>16549.2222</v>
      </c>
      <c r="I59" s="6"/>
      <c r="J59" s="6"/>
      <c r="K59" s="6"/>
      <c r="L59" s="6"/>
      <c r="M59" s="6"/>
      <c r="N59" s="6"/>
      <c r="O59" s="6"/>
      <c r="P59" s="6"/>
      <c r="Q59" s="6"/>
      <c r="R59" s="6"/>
      <c r="S59" s="6"/>
      <c r="T59" s="6"/>
      <c r="U59" s="6"/>
      <c r="V59" s="6"/>
      <c r="W59" s="6"/>
      <c r="X59" s="6"/>
      <c r="Y59" s="6"/>
      <c r="Z59" s="6"/>
    </row>
    <row r="60">
      <c r="A60" s="13" t="s">
        <v>45</v>
      </c>
      <c r="B60" s="19">
        <v>0.0</v>
      </c>
      <c r="C60" s="19">
        <v>0.0</v>
      </c>
      <c r="D60" s="19">
        <v>0.0</v>
      </c>
      <c r="E60" s="19">
        <v>0.0</v>
      </c>
      <c r="F60" s="19">
        <v>0.0</v>
      </c>
      <c r="G60" s="19">
        <v>2436.956</v>
      </c>
      <c r="H60" s="19">
        <v>3341.0667</v>
      </c>
      <c r="I60" s="6"/>
      <c r="J60" s="6"/>
      <c r="K60" s="6"/>
      <c r="L60" s="6"/>
      <c r="M60" s="6"/>
      <c r="N60" s="6"/>
      <c r="O60" s="6"/>
      <c r="P60" s="6"/>
      <c r="Q60" s="6"/>
      <c r="R60" s="6"/>
      <c r="S60" s="6"/>
      <c r="T60" s="6"/>
      <c r="U60" s="6"/>
      <c r="V60" s="6"/>
      <c r="W60" s="6"/>
      <c r="X60" s="6"/>
      <c r="Y60" s="6"/>
      <c r="Z60" s="6"/>
    </row>
    <row r="61">
      <c r="A61" s="23" t="s">
        <v>46</v>
      </c>
      <c r="B61" s="24">
        <f t="shared" ref="B61:H61" si="18">sum(B62:B63)</f>
        <v>67565.9753</v>
      </c>
      <c r="C61" s="24">
        <f t="shared" si="18"/>
        <v>67708.7062</v>
      </c>
      <c r="D61" s="24">
        <f t="shared" si="18"/>
        <v>67708.7062</v>
      </c>
      <c r="E61" s="24">
        <f t="shared" si="18"/>
        <v>67708.7062</v>
      </c>
      <c r="F61" s="24">
        <f t="shared" si="18"/>
        <v>69567.865</v>
      </c>
      <c r="G61" s="24">
        <f t="shared" si="18"/>
        <v>64730.1061</v>
      </c>
      <c r="H61" s="24">
        <f t="shared" si="18"/>
        <v>66657.5632</v>
      </c>
      <c r="I61" s="6"/>
      <c r="J61" s="6"/>
      <c r="K61" s="6"/>
      <c r="L61" s="6"/>
      <c r="M61" s="6"/>
      <c r="N61" s="6"/>
      <c r="O61" s="6"/>
      <c r="P61" s="6"/>
      <c r="Q61" s="6"/>
      <c r="R61" s="6"/>
      <c r="S61" s="6"/>
      <c r="T61" s="6"/>
      <c r="U61" s="6"/>
      <c r="V61" s="6"/>
      <c r="W61" s="6"/>
      <c r="X61" s="6"/>
      <c r="Y61" s="6"/>
      <c r="Z61" s="6"/>
    </row>
    <row r="62">
      <c r="A62" s="13" t="s">
        <v>47</v>
      </c>
      <c r="B62" s="19">
        <v>40000.0</v>
      </c>
      <c r="C62" s="19">
        <v>40000.0</v>
      </c>
      <c r="D62" s="19">
        <v>40000.0</v>
      </c>
      <c r="E62" s="19">
        <v>40000.0</v>
      </c>
      <c r="F62" s="19">
        <v>40000.0</v>
      </c>
      <c r="G62" s="19">
        <v>60000.0</v>
      </c>
      <c r="H62" s="19">
        <v>60000.0</v>
      </c>
      <c r="I62" s="6"/>
      <c r="J62" s="6"/>
      <c r="K62" s="6"/>
      <c r="L62" s="6"/>
      <c r="M62" s="6"/>
      <c r="N62" s="6"/>
      <c r="O62" s="6"/>
      <c r="P62" s="6"/>
      <c r="Q62" s="6"/>
      <c r="R62" s="6"/>
      <c r="S62" s="6"/>
      <c r="T62" s="6"/>
      <c r="U62" s="6"/>
      <c r="V62" s="6"/>
      <c r="W62" s="6"/>
      <c r="X62" s="6"/>
      <c r="Y62" s="6"/>
      <c r="Z62" s="6"/>
    </row>
    <row r="63">
      <c r="A63" s="13" t="s">
        <v>48</v>
      </c>
      <c r="B63" s="19">
        <v>27565.9753</v>
      </c>
      <c r="C63" s="19">
        <v>27708.7062</v>
      </c>
      <c r="D63" s="19">
        <v>27708.7062</v>
      </c>
      <c r="E63" s="19">
        <v>27708.7062</v>
      </c>
      <c r="F63" s="19">
        <v>29567.865</v>
      </c>
      <c r="G63" s="19">
        <v>4730.1061</v>
      </c>
      <c r="H63" s="19">
        <v>6657.5632</v>
      </c>
      <c r="I63" s="6"/>
      <c r="J63" s="6"/>
      <c r="K63" s="6"/>
      <c r="L63" s="6"/>
      <c r="M63" s="6"/>
      <c r="N63" s="6"/>
      <c r="O63" s="6"/>
      <c r="P63" s="6"/>
      <c r="Q63" s="6"/>
      <c r="R63" s="6"/>
      <c r="S63" s="6"/>
      <c r="T63" s="6"/>
      <c r="U63" s="6"/>
      <c r="V63" s="6"/>
      <c r="W63" s="6"/>
      <c r="X63" s="6"/>
      <c r="Y63" s="6"/>
      <c r="Z63" s="6"/>
    </row>
    <row r="64">
      <c r="A64" s="20"/>
      <c r="B64" s="21"/>
      <c r="C64" s="21"/>
      <c r="D64" s="21"/>
      <c r="E64" s="21"/>
      <c r="F64" s="21"/>
      <c r="G64" s="21"/>
      <c r="H64" s="22"/>
      <c r="I64" s="6"/>
      <c r="J64" s="6"/>
      <c r="K64" s="6"/>
      <c r="L64" s="6"/>
      <c r="M64" s="6"/>
      <c r="N64" s="6"/>
      <c r="O64" s="6"/>
      <c r="P64" s="6"/>
      <c r="Q64" s="6"/>
      <c r="R64" s="6"/>
      <c r="S64" s="6"/>
      <c r="T64" s="6"/>
      <c r="U64" s="6"/>
      <c r="V64" s="6"/>
      <c r="W64" s="6"/>
      <c r="X64" s="6"/>
      <c r="Y64" s="6"/>
      <c r="Z64" s="6"/>
    </row>
    <row r="65">
      <c r="A65" s="15" t="s">
        <v>49</v>
      </c>
      <c r="B65" s="12">
        <f t="shared" ref="B65:I65" si="19">sum(B66,B70)</f>
        <v>114449.4667</v>
      </c>
      <c r="C65" s="12">
        <f t="shared" si="19"/>
        <v>114437.2819</v>
      </c>
      <c r="D65" s="12">
        <f t="shared" si="19"/>
        <v>114437.2819</v>
      </c>
      <c r="E65" s="12">
        <f t="shared" si="19"/>
        <v>114437.2819</v>
      </c>
      <c r="F65" s="12">
        <f t="shared" si="19"/>
        <v>116559.8705</v>
      </c>
      <c r="G65" s="12">
        <f t="shared" si="19"/>
        <v>116626.0164</v>
      </c>
      <c r="H65" s="12">
        <f t="shared" si="19"/>
        <v>117299.6608</v>
      </c>
      <c r="I65" s="12">
        <f t="shared" si="19"/>
        <v>0</v>
      </c>
      <c r="J65" s="6"/>
      <c r="K65" s="6"/>
      <c r="L65" s="6"/>
      <c r="M65" s="6"/>
      <c r="N65" s="6"/>
      <c r="O65" s="6"/>
      <c r="P65" s="6"/>
      <c r="Q65" s="6"/>
      <c r="R65" s="6"/>
      <c r="S65" s="6"/>
      <c r="T65" s="6"/>
      <c r="U65" s="6"/>
      <c r="V65" s="6"/>
      <c r="W65" s="6"/>
      <c r="X65" s="6"/>
      <c r="Y65" s="6"/>
      <c r="Z65" s="6"/>
    </row>
    <row r="66">
      <c r="A66" s="23" t="s">
        <v>50</v>
      </c>
      <c r="B66" s="24">
        <f t="shared" ref="B66:H66" si="20">sum(B67:B69)</f>
        <v>101543.9858</v>
      </c>
      <c r="C66" s="24">
        <f t="shared" si="20"/>
        <v>101531.801</v>
      </c>
      <c r="D66" s="24">
        <f t="shared" si="20"/>
        <v>101531.801</v>
      </c>
      <c r="E66" s="24">
        <f t="shared" si="20"/>
        <v>101531.801</v>
      </c>
      <c r="F66" s="24">
        <f t="shared" si="20"/>
        <v>103465.6996</v>
      </c>
      <c r="G66" s="24">
        <f t="shared" si="20"/>
        <v>103531.8455</v>
      </c>
      <c r="H66" s="24">
        <f t="shared" si="20"/>
        <v>104205.4899</v>
      </c>
      <c r="I66" s="6"/>
      <c r="J66" s="6"/>
      <c r="K66" s="6"/>
      <c r="L66" s="6"/>
      <c r="M66" s="6"/>
      <c r="N66" s="6"/>
      <c r="O66" s="6"/>
      <c r="P66" s="6"/>
      <c r="Q66" s="6"/>
      <c r="R66" s="6"/>
      <c r="S66" s="6"/>
      <c r="T66" s="6"/>
      <c r="U66" s="6"/>
      <c r="V66" s="6"/>
      <c r="W66" s="6"/>
      <c r="X66" s="6"/>
      <c r="Y66" s="6"/>
      <c r="Z66" s="6"/>
    </row>
    <row r="67">
      <c r="A67" s="13" t="s">
        <v>51</v>
      </c>
      <c r="B67" s="19">
        <v>257.331</v>
      </c>
      <c r="C67" s="19">
        <v>255.3002</v>
      </c>
      <c r="D67" s="19">
        <v>255.3002</v>
      </c>
      <c r="E67" s="19">
        <v>255.3002</v>
      </c>
      <c r="F67" s="19">
        <v>577.6166</v>
      </c>
      <c r="G67" s="19">
        <v>588.6409</v>
      </c>
      <c r="H67" s="19">
        <v>700.915</v>
      </c>
      <c r="I67" s="6"/>
      <c r="J67" s="6"/>
      <c r="K67" s="6"/>
      <c r="L67" s="6"/>
      <c r="M67" s="6"/>
      <c r="N67" s="6"/>
      <c r="O67" s="6"/>
      <c r="P67" s="6"/>
      <c r="Q67" s="6"/>
      <c r="R67" s="6"/>
      <c r="S67" s="6"/>
      <c r="T67" s="6"/>
      <c r="U67" s="6"/>
      <c r="V67" s="6"/>
      <c r="W67" s="6"/>
      <c r="X67" s="6"/>
      <c r="Y67" s="6"/>
      <c r="Z67" s="6"/>
    </row>
    <row r="68">
      <c r="A68" s="13" t="s">
        <v>52</v>
      </c>
      <c r="B68" s="19">
        <v>1286.6548</v>
      </c>
      <c r="C68" s="19">
        <v>1276.5008</v>
      </c>
      <c r="D68" s="19">
        <v>1276.5008</v>
      </c>
      <c r="E68" s="19">
        <v>1276.5008</v>
      </c>
      <c r="F68" s="19">
        <v>2888.083</v>
      </c>
      <c r="G68" s="19">
        <v>2943.2046</v>
      </c>
      <c r="H68" s="19">
        <v>3504.5749</v>
      </c>
      <c r="I68" s="6"/>
      <c r="J68" s="6"/>
      <c r="K68" s="6"/>
      <c r="L68" s="6"/>
      <c r="M68" s="6"/>
      <c r="N68" s="6"/>
      <c r="O68" s="6"/>
      <c r="P68" s="6"/>
      <c r="Q68" s="6"/>
      <c r="R68" s="6"/>
      <c r="S68" s="6"/>
      <c r="T68" s="6"/>
      <c r="U68" s="6"/>
      <c r="V68" s="6"/>
      <c r="W68" s="6"/>
      <c r="X68" s="6"/>
      <c r="Y68" s="6"/>
      <c r="Z68" s="6"/>
    </row>
    <row r="69">
      <c r="A69" s="13" t="s">
        <v>53</v>
      </c>
      <c r="B69" s="19">
        <v>100000.0</v>
      </c>
      <c r="C69" s="19">
        <v>100000.0</v>
      </c>
      <c r="D69" s="19">
        <v>100000.0</v>
      </c>
      <c r="E69" s="19">
        <v>100000.0</v>
      </c>
      <c r="F69" s="19">
        <v>100000.0</v>
      </c>
      <c r="G69" s="19">
        <v>100000.0</v>
      </c>
      <c r="H69" s="19">
        <v>100000.0</v>
      </c>
      <c r="I69" s="6"/>
      <c r="J69" s="6"/>
      <c r="K69" s="6"/>
      <c r="L69" s="6"/>
      <c r="M69" s="6"/>
      <c r="N69" s="6"/>
      <c r="O69" s="6"/>
      <c r="P69" s="6"/>
      <c r="Q69" s="6"/>
      <c r="R69" s="6"/>
      <c r="S69" s="6"/>
      <c r="T69" s="6"/>
      <c r="U69" s="6"/>
      <c r="V69" s="6"/>
      <c r="W69" s="6"/>
      <c r="X69" s="6"/>
      <c r="Y69" s="6"/>
      <c r="Z69" s="6"/>
    </row>
    <row r="70">
      <c r="A70" s="23" t="s">
        <v>54</v>
      </c>
      <c r="B70" s="24">
        <f t="shared" ref="B70:H70" si="21">sum(B71:B72)</f>
        <v>12905.4809</v>
      </c>
      <c r="C70" s="24">
        <f t="shared" si="21"/>
        <v>12905.4809</v>
      </c>
      <c r="D70" s="24">
        <f t="shared" si="21"/>
        <v>12905.4809</v>
      </c>
      <c r="E70" s="24">
        <f t="shared" si="21"/>
        <v>12905.4809</v>
      </c>
      <c r="F70" s="24">
        <f t="shared" si="21"/>
        <v>13094.1709</v>
      </c>
      <c r="G70" s="24">
        <f t="shared" si="21"/>
        <v>13094.1709</v>
      </c>
      <c r="H70" s="24">
        <f t="shared" si="21"/>
        <v>13094.1709</v>
      </c>
      <c r="I70" s="6"/>
      <c r="J70" s="6"/>
      <c r="K70" s="6"/>
      <c r="L70" s="6"/>
      <c r="M70" s="6"/>
      <c r="N70" s="6"/>
      <c r="O70" s="6"/>
      <c r="P70" s="6"/>
      <c r="Q70" s="6"/>
      <c r="R70" s="6"/>
      <c r="S70" s="6"/>
      <c r="T70" s="6"/>
      <c r="U70" s="6"/>
      <c r="V70" s="6"/>
      <c r="W70" s="6"/>
      <c r="X70" s="6"/>
      <c r="Y70" s="6"/>
      <c r="Z70" s="6"/>
    </row>
    <row r="71">
      <c r="A71" s="13" t="s">
        <v>55</v>
      </c>
      <c r="B71" s="19">
        <v>1432.9301</v>
      </c>
      <c r="C71" s="19">
        <v>1432.9301</v>
      </c>
      <c r="D71" s="19">
        <v>1432.9301</v>
      </c>
      <c r="E71" s="19">
        <v>1432.9301</v>
      </c>
      <c r="F71" s="19">
        <v>1475.1127</v>
      </c>
      <c r="G71" s="19">
        <v>1475.1127</v>
      </c>
      <c r="H71" s="19">
        <v>1475.1127</v>
      </c>
      <c r="I71" s="6"/>
      <c r="J71" s="6"/>
      <c r="K71" s="6"/>
      <c r="L71" s="6"/>
      <c r="M71" s="6"/>
      <c r="N71" s="6"/>
      <c r="O71" s="6"/>
      <c r="P71" s="6"/>
      <c r="Q71" s="6"/>
      <c r="R71" s="6"/>
      <c r="S71" s="6"/>
      <c r="T71" s="6"/>
      <c r="U71" s="6"/>
      <c r="V71" s="6"/>
      <c r="W71" s="6"/>
      <c r="X71" s="6"/>
      <c r="Y71" s="6"/>
      <c r="Z71" s="6"/>
    </row>
    <row r="72">
      <c r="A72" s="13" t="s">
        <v>56</v>
      </c>
      <c r="B72" s="19">
        <v>11472.5508</v>
      </c>
      <c r="C72" s="19">
        <v>11472.5508</v>
      </c>
      <c r="D72" s="19">
        <v>11472.5508</v>
      </c>
      <c r="E72" s="19">
        <v>11472.5508</v>
      </c>
      <c r="F72" s="19">
        <v>11619.0582</v>
      </c>
      <c r="G72" s="19">
        <v>11619.0582</v>
      </c>
      <c r="H72" s="19">
        <v>11619.0582</v>
      </c>
      <c r="I72" s="6"/>
      <c r="J72" s="6"/>
      <c r="K72" s="6"/>
      <c r="L72" s="6"/>
      <c r="M72" s="6"/>
      <c r="N72" s="6"/>
      <c r="O72" s="6"/>
      <c r="P72" s="6"/>
      <c r="Q72" s="6"/>
      <c r="R72" s="6"/>
      <c r="S72" s="6"/>
      <c r="T72" s="6"/>
      <c r="U72" s="6"/>
      <c r="V72" s="6"/>
      <c r="W72" s="6"/>
      <c r="X72" s="6"/>
      <c r="Y72" s="6"/>
      <c r="Z72" s="6"/>
    </row>
    <row r="73">
      <c r="A73" s="20"/>
      <c r="B73" s="21"/>
      <c r="C73" s="21"/>
      <c r="D73" s="21"/>
      <c r="E73" s="21"/>
      <c r="F73" s="21"/>
      <c r="G73" s="21"/>
      <c r="H73" s="22"/>
      <c r="I73" s="6"/>
      <c r="J73" s="6"/>
      <c r="K73" s="6"/>
      <c r="L73" s="6"/>
      <c r="M73" s="6"/>
      <c r="N73" s="6"/>
      <c r="O73" s="6"/>
      <c r="P73" s="6"/>
      <c r="Q73" s="6"/>
      <c r="R73" s="6"/>
      <c r="S73" s="6"/>
      <c r="T73" s="6"/>
      <c r="U73" s="6"/>
      <c r="V73" s="6"/>
      <c r="W73" s="6"/>
      <c r="X73" s="6"/>
      <c r="Y73" s="6"/>
      <c r="Z73" s="6"/>
    </row>
    <row r="74">
      <c r="A74" s="15" t="s">
        <v>57</v>
      </c>
      <c r="B74" s="12">
        <v>169355.3894</v>
      </c>
      <c r="C74" s="12">
        <v>169355.3894</v>
      </c>
      <c r="D74" s="12">
        <v>169355.3894</v>
      </c>
      <c r="E74" s="12">
        <v>169355.3894</v>
      </c>
      <c r="F74" s="12">
        <v>170034.7779</v>
      </c>
      <c r="G74" s="12">
        <v>170034.7779</v>
      </c>
      <c r="H74" s="12">
        <v>170034.7779</v>
      </c>
      <c r="I74" s="12">
        <v>170034.7779</v>
      </c>
      <c r="J74" s="6"/>
      <c r="K74" s="6"/>
      <c r="L74" s="6"/>
      <c r="M74" s="6"/>
      <c r="N74" s="6"/>
      <c r="O74" s="6"/>
      <c r="P74" s="6"/>
      <c r="Q74" s="6"/>
      <c r="R74" s="6"/>
      <c r="S74" s="6"/>
      <c r="T74" s="6"/>
      <c r="U74" s="6"/>
      <c r="V74" s="6"/>
      <c r="W74" s="6"/>
      <c r="X74" s="6"/>
      <c r="Y74" s="6"/>
      <c r="Z74" s="6"/>
    </row>
    <row r="75">
      <c r="A75" s="20"/>
      <c r="B75" s="21"/>
      <c r="C75" s="21"/>
      <c r="D75" s="21"/>
      <c r="E75" s="21"/>
      <c r="F75" s="21"/>
      <c r="G75" s="21"/>
      <c r="H75" s="22"/>
      <c r="I75" s="6"/>
      <c r="J75" s="6"/>
      <c r="K75" s="6"/>
      <c r="L75" s="6"/>
      <c r="M75" s="6"/>
      <c r="N75" s="6"/>
      <c r="O75" s="6"/>
      <c r="P75" s="6"/>
      <c r="Q75" s="6"/>
      <c r="R75" s="6"/>
      <c r="S75" s="6"/>
      <c r="T75" s="6"/>
      <c r="U75" s="6"/>
      <c r="V75" s="6"/>
      <c r="W75" s="6"/>
      <c r="X75" s="6"/>
      <c r="Y75" s="6"/>
      <c r="Z75" s="6"/>
    </row>
    <row r="76">
      <c r="A76" s="15" t="s">
        <v>58</v>
      </c>
      <c r="B76" s="12">
        <f t="shared" ref="B76:I76" si="22">sum(B77:B79)</f>
        <v>0</v>
      </c>
      <c r="C76" s="12">
        <f t="shared" si="22"/>
        <v>0</v>
      </c>
      <c r="D76" s="12">
        <f t="shared" si="22"/>
        <v>0</v>
      </c>
      <c r="E76" s="12">
        <f t="shared" si="22"/>
        <v>0</v>
      </c>
      <c r="F76" s="12">
        <f t="shared" si="22"/>
        <v>0</v>
      </c>
      <c r="G76" s="12">
        <f t="shared" si="22"/>
        <v>31000</v>
      </c>
      <c r="H76" s="12">
        <f t="shared" si="22"/>
        <v>38200</v>
      </c>
      <c r="I76" s="12">
        <f t="shared" si="22"/>
        <v>0</v>
      </c>
      <c r="J76" s="6"/>
      <c r="K76" s="6"/>
      <c r="L76" s="6"/>
      <c r="M76" s="6"/>
      <c r="N76" s="6"/>
      <c r="O76" s="6"/>
      <c r="P76" s="6"/>
      <c r="Q76" s="6"/>
      <c r="R76" s="6"/>
      <c r="S76" s="6"/>
      <c r="T76" s="6"/>
      <c r="U76" s="6"/>
      <c r="V76" s="6"/>
      <c r="W76" s="6"/>
      <c r="X76" s="6"/>
      <c r="Y76" s="6"/>
      <c r="Z76" s="6"/>
    </row>
    <row r="77">
      <c r="A77" s="13" t="s">
        <v>59</v>
      </c>
      <c r="B77" s="19">
        <v>0.0</v>
      </c>
      <c r="C77" s="19">
        <v>0.0</v>
      </c>
      <c r="D77" s="19">
        <v>0.0</v>
      </c>
      <c r="E77" s="19">
        <v>0.0</v>
      </c>
      <c r="F77" s="19">
        <v>0.0</v>
      </c>
      <c r="G77" s="19">
        <v>6000.0</v>
      </c>
      <c r="H77" s="19">
        <v>13200.0</v>
      </c>
      <c r="I77" s="6"/>
      <c r="J77" s="6"/>
      <c r="K77" s="6"/>
      <c r="L77" s="6"/>
      <c r="M77" s="6"/>
      <c r="N77" s="6"/>
      <c r="O77" s="6"/>
      <c r="P77" s="6"/>
      <c r="Q77" s="6"/>
      <c r="R77" s="6"/>
      <c r="S77" s="6"/>
      <c r="T77" s="6"/>
      <c r="U77" s="6"/>
      <c r="V77" s="6"/>
      <c r="W77" s="6"/>
      <c r="X77" s="6"/>
      <c r="Y77" s="6"/>
      <c r="Z77" s="6"/>
    </row>
    <row r="78">
      <c r="A78" s="13" t="s">
        <v>60</v>
      </c>
      <c r="B78" s="19">
        <v>0.0</v>
      </c>
      <c r="C78" s="19">
        <v>0.0</v>
      </c>
      <c r="D78" s="19">
        <v>0.0</v>
      </c>
      <c r="E78" s="19">
        <v>0.0</v>
      </c>
      <c r="F78" s="19">
        <v>0.0</v>
      </c>
      <c r="G78" s="19">
        <v>10000.0</v>
      </c>
      <c r="H78" s="19">
        <v>10000.0</v>
      </c>
      <c r="I78" s="6"/>
      <c r="J78" s="6"/>
      <c r="K78" s="6"/>
      <c r="L78" s="6"/>
      <c r="M78" s="6"/>
      <c r="N78" s="6"/>
      <c r="O78" s="6"/>
      <c r="P78" s="6"/>
      <c r="Q78" s="6"/>
      <c r="R78" s="6"/>
      <c r="S78" s="6"/>
      <c r="T78" s="6"/>
      <c r="U78" s="6"/>
      <c r="V78" s="6"/>
      <c r="W78" s="6"/>
      <c r="X78" s="6"/>
      <c r="Y78" s="6"/>
      <c r="Z78" s="6"/>
    </row>
    <row r="79">
      <c r="A79" s="13" t="s">
        <v>61</v>
      </c>
      <c r="B79" s="19">
        <v>0.0</v>
      </c>
      <c r="C79" s="19">
        <v>0.0</v>
      </c>
      <c r="D79" s="19">
        <v>0.0</v>
      </c>
      <c r="E79" s="19">
        <v>0.0</v>
      </c>
      <c r="F79" s="19">
        <v>0.0</v>
      </c>
      <c r="G79" s="19">
        <v>15000.0</v>
      </c>
      <c r="H79" s="19">
        <v>15000.0</v>
      </c>
      <c r="I79" s="6"/>
      <c r="J79" s="6"/>
      <c r="K79" s="6"/>
      <c r="L79" s="6"/>
      <c r="M79" s="6"/>
      <c r="N79" s="6"/>
      <c r="O79" s="6"/>
      <c r="P79" s="6"/>
      <c r="Q79" s="6"/>
      <c r="R79" s="6"/>
      <c r="S79" s="6"/>
      <c r="T79" s="6"/>
      <c r="U79" s="6"/>
      <c r="V79" s="6"/>
      <c r="W79" s="6"/>
      <c r="X79" s="6"/>
      <c r="Y79" s="6"/>
      <c r="Z79" s="6"/>
    </row>
    <row r="80">
      <c r="A80" s="15" t="s">
        <v>62</v>
      </c>
      <c r="B80" s="25">
        <v>30057.5839</v>
      </c>
      <c r="C80" s="25">
        <v>30056.9171</v>
      </c>
      <c r="D80" s="25">
        <v>30056.9171</v>
      </c>
      <c r="E80" s="25">
        <v>30056.9171</v>
      </c>
      <c r="F80" s="25">
        <v>30968.2862</v>
      </c>
      <c r="G80" s="25">
        <v>20364.2715</v>
      </c>
      <c r="H80" s="25">
        <v>23795.4911</v>
      </c>
      <c r="I80" s="25"/>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ht="27.75" customHeight="1">
      <c r="A85" s="9" t="s">
        <v>63</v>
      </c>
      <c r="B85" s="10">
        <f t="shared" ref="B85:I85" si="23">sum(B86:B89)</f>
        <v>4043693.58</v>
      </c>
      <c r="C85" s="10">
        <f t="shared" si="23"/>
        <v>4050319.034</v>
      </c>
      <c r="D85" s="10">
        <f t="shared" si="23"/>
        <v>4050319.034</v>
      </c>
      <c r="E85" s="10">
        <f t="shared" si="23"/>
        <v>4050319.034</v>
      </c>
      <c r="F85" s="10">
        <f t="shared" si="23"/>
        <v>3903850.169</v>
      </c>
      <c r="G85" s="10">
        <f t="shared" si="23"/>
        <v>3884396.23</v>
      </c>
      <c r="H85" s="10">
        <f t="shared" si="23"/>
        <v>4565171.604</v>
      </c>
      <c r="I85" s="10">
        <f t="shared" si="23"/>
        <v>0</v>
      </c>
      <c r="J85" s="6"/>
      <c r="K85" s="6"/>
      <c r="L85" s="6"/>
      <c r="M85" s="6"/>
      <c r="N85" s="6"/>
      <c r="O85" s="6"/>
      <c r="P85" s="6"/>
      <c r="Q85" s="6"/>
      <c r="R85" s="6"/>
      <c r="S85" s="6"/>
      <c r="T85" s="6"/>
      <c r="U85" s="6"/>
      <c r="V85" s="6"/>
      <c r="W85" s="6"/>
      <c r="X85" s="6"/>
      <c r="Y85" s="6"/>
      <c r="Z85" s="6"/>
    </row>
    <row r="86">
      <c r="A86" s="15" t="s">
        <v>64</v>
      </c>
      <c r="B86" s="24">
        <v>2500000.0</v>
      </c>
      <c r="C86" s="24">
        <v>2500000.0</v>
      </c>
      <c r="D86" s="24">
        <v>2500000.0</v>
      </c>
      <c r="E86" s="24">
        <v>2500000.0</v>
      </c>
      <c r="F86" s="24">
        <v>2500000.0</v>
      </c>
      <c r="G86" s="24">
        <v>2500000.0</v>
      </c>
      <c r="H86" s="24">
        <v>2500000.0</v>
      </c>
      <c r="I86" s="6"/>
      <c r="J86" s="6"/>
      <c r="K86" s="6"/>
      <c r="L86" s="6"/>
      <c r="M86" s="6"/>
      <c r="N86" s="6"/>
      <c r="O86" s="6"/>
      <c r="P86" s="6"/>
      <c r="Q86" s="6"/>
      <c r="R86" s="6"/>
      <c r="S86" s="6"/>
      <c r="T86" s="6"/>
      <c r="U86" s="6"/>
      <c r="V86" s="6"/>
      <c r="W86" s="6"/>
      <c r="X86" s="6"/>
      <c r="Y86" s="6"/>
      <c r="Z86" s="6"/>
    </row>
    <row r="87">
      <c r="A87" s="15" t="s">
        <v>65</v>
      </c>
      <c r="B87" s="24">
        <v>330425.7943</v>
      </c>
      <c r="C87" s="24">
        <v>337060.139</v>
      </c>
      <c r="D87" s="24">
        <v>337060.139</v>
      </c>
      <c r="E87" s="24">
        <v>337060.139</v>
      </c>
      <c r="F87" s="24">
        <v>178439.6863</v>
      </c>
      <c r="G87" s="24">
        <v>300372.6095</v>
      </c>
      <c r="H87" s="24">
        <v>260398.3892</v>
      </c>
      <c r="I87" s="6"/>
      <c r="J87" s="6"/>
      <c r="K87" s="6"/>
      <c r="L87" s="6"/>
      <c r="M87" s="6"/>
      <c r="N87" s="6"/>
      <c r="O87" s="6"/>
      <c r="P87" s="6"/>
      <c r="Q87" s="6"/>
      <c r="R87" s="6"/>
      <c r="S87" s="6"/>
      <c r="T87" s="6"/>
      <c r="U87" s="6"/>
      <c r="V87" s="6"/>
      <c r="W87" s="6"/>
      <c r="X87" s="6"/>
      <c r="Y87" s="6"/>
      <c r="Z87" s="6"/>
    </row>
    <row r="88">
      <c r="A88" s="15" t="s">
        <v>66</v>
      </c>
      <c r="B88" s="24">
        <v>812500.0</v>
      </c>
      <c r="C88" s="24">
        <v>812500.0</v>
      </c>
      <c r="D88" s="24">
        <v>812500.0</v>
      </c>
      <c r="E88" s="24">
        <v>812500.0</v>
      </c>
      <c r="F88" s="24">
        <v>812500.0</v>
      </c>
      <c r="G88" s="24">
        <v>812500.0</v>
      </c>
      <c r="H88" s="24">
        <v>1487500.0</v>
      </c>
      <c r="I88" s="6"/>
      <c r="J88" s="6"/>
      <c r="K88" s="6"/>
      <c r="L88" s="6"/>
      <c r="M88" s="6"/>
      <c r="N88" s="6"/>
      <c r="O88" s="6"/>
      <c r="P88" s="6"/>
      <c r="Q88" s="6"/>
      <c r="R88" s="6"/>
      <c r="S88" s="6"/>
      <c r="T88" s="6"/>
      <c r="U88" s="6"/>
      <c r="V88" s="6"/>
      <c r="W88" s="6"/>
      <c r="X88" s="6"/>
      <c r="Y88" s="6"/>
      <c r="Z88" s="6"/>
    </row>
    <row r="89">
      <c r="A89" s="15" t="s">
        <v>67</v>
      </c>
      <c r="B89" s="24">
        <v>400767.7859</v>
      </c>
      <c r="C89" s="24">
        <v>400758.8948</v>
      </c>
      <c r="D89" s="24">
        <v>400758.8948</v>
      </c>
      <c r="E89" s="24">
        <v>400758.8948</v>
      </c>
      <c r="F89" s="24">
        <v>412910.4826</v>
      </c>
      <c r="G89" s="24">
        <v>271523.6206</v>
      </c>
      <c r="H89" s="24">
        <v>317273.2148</v>
      </c>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row r="1003">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row>
    <row r="1004">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row>
    <row r="1005">
      <c r="A1005" s="6"/>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row>
    <row r="1006">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row>
    <row r="1007">
      <c r="A1007" s="6"/>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row>
    <row r="1008">
      <c r="A1008" s="6"/>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row>
    <row r="1009">
      <c r="A1009" s="6"/>
      <c r="B1009" s="6"/>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row>
    <row r="1010">
      <c r="A1010" s="6"/>
      <c r="B1010" s="6"/>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row>
    <row r="1011">
      <c r="A1011" s="6"/>
      <c r="B1011" s="6"/>
      <c r="C1011" s="6"/>
      <c r="D1011" s="6"/>
      <c r="E1011" s="6"/>
      <c r="F1011" s="6"/>
      <c r="G1011" s="6"/>
      <c r="H1011" s="6"/>
      <c r="I1011" s="6"/>
      <c r="J1011" s="6"/>
      <c r="K1011" s="6"/>
      <c r="L1011" s="6"/>
      <c r="M1011" s="6"/>
      <c r="N1011" s="6"/>
      <c r="O1011" s="6"/>
      <c r="P1011" s="6"/>
      <c r="Q1011" s="6"/>
      <c r="R1011" s="6"/>
      <c r="S1011" s="6"/>
      <c r="T1011" s="6"/>
      <c r="U1011" s="6"/>
      <c r="V1011" s="6"/>
      <c r="W1011" s="6"/>
      <c r="X1011" s="6"/>
      <c r="Y1011" s="6"/>
      <c r="Z1011" s="6"/>
    </row>
    <row r="1012">
      <c r="A1012" s="6"/>
      <c r="B1012" s="6"/>
      <c r="C1012" s="6"/>
      <c r="D1012" s="6"/>
      <c r="E1012" s="6"/>
      <c r="F1012" s="6"/>
      <c r="G1012" s="6"/>
      <c r="H1012" s="6"/>
      <c r="I1012" s="6"/>
      <c r="J1012" s="6"/>
      <c r="K1012" s="6"/>
      <c r="L1012" s="6"/>
      <c r="M1012" s="6"/>
      <c r="N1012" s="6"/>
      <c r="O1012" s="6"/>
      <c r="P1012" s="6"/>
      <c r="Q1012" s="6"/>
      <c r="R1012" s="6"/>
      <c r="S1012" s="6"/>
      <c r="T1012" s="6"/>
      <c r="U1012" s="6"/>
      <c r="V1012" s="6"/>
      <c r="W1012" s="6"/>
      <c r="X1012" s="6"/>
      <c r="Y1012" s="6"/>
      <c r="Z1012" s="6"/>
    </row>
    <row r="1013">
      <c r="A1013" s="6"/>
      <c r="B1013" s="6"/>
      <c r="C1013" s="6"/>
      <c r="D1013" s="6"/>
      <c r="E1013" s="6"/>
      <c r="F1013" s="6"/>
      <c r="G1013" s="6"/>
      <c r="H1013" s="6"/>
      <c r="I1013" s="6"/>
      <c r="J1013" s="6"/>
      <c r="K1013" s="6"/>
      <c r="L1013" s="6"/>
      <c r="M1013" s="6"/>
      <c r="N1013" s="6"/>
      <c r="O1013" s="6"/>
      <c r="P1013" s="6"/>
      <c r="Q1013" s="6"/>
      <c r="R1013" s="6"/>
      <c r="S1013" s="6"/>
      <c r="T1013" s="6"/>
      <c r="U1013" s="6"/>
      <c r="V1013" s="6"/>
      <c r="W1013" s="6"/>
      <c r="X1013" s="6"/>
      <c r="Y1013" s="6"/>
      <c r="Z1013" s="6"/>
    </row>
    <row r="1014">
      <c r="A1014" s="6"/>
      <c r="B1014" s="6"/>
      <c r="C1014" s="6"/>
      <c r="D1014" s="6"/>
      <c r="E1014" s="6"/>
      <c r="F1014" s="6"/>
      <c r="G1014" s="6"/>
      <c r="H1014" s="6"/>
      <c r="I1014" s="6"/>
      <c r="J1014" s="6"/>
      <c r="K1014" s="6"/>
      <c r="L1014" s="6"/>
      <c r="M1014" s="6"/>
      <c r="N1014" s="6"/>
      <c r="O1014" s="6"/>
      <c r="P1014" s="6"/>
      <c r="Q1014" s="6"/>
      <c r="R1014" s="6"/>
      <c r="S1014" s="6"/>
      <c r="T1014" s="6"/>
      <c r="U1014" s="6"/>
      <c r="V1014" s="6"/>
      <c r="W1014" s="6"/>
      <c r="X1014" s="6"/>
      <c r="Y1014" s="6"/>
      <c r="Z1014" s="6"/>
    </row>
    <row r="1015">
      <c r="A1015" s="6"/>
      <c r="B1015" s="6"/>
      <c r="C1015" s="6"/>
      <c r="D1015" s="6"/>
      <c r="E1015" s="6"/>
      <c r="F1015" s="6"/>
      <c r="G1015" s="6"/>
      <c r="H1015" s="6"/>
      <c r="I1015" s="6"/>
      <c r="J1015" s="6"/>
      <c r="K1015" s="6"/>
      <c r="L1015" s="6"/>
      <c r="M1015" s="6"/>
      <c r="N1015" s="6"/>
      <c r="O1015" s="6"/>
      <c r="P1015" s="6"/>
      <c r="Q1015" s="6"/>
      <c r="R1015" s="6"/>
      <c r="S1015" s="6"/>
      <c r="T1015" s="6"/>
      <c r="U1015" s="6"/>
      <c r="V1015" s="6"/>
      <c r="W1015" s="6"/>
      <c r="X1015" s="6"/>
      <c r="Y1015" s="6"/>
      <c r="Z1015" s="6"/>
    </row>
    <row r="1016">
      <c r="A1016" s="6"/>
      <c r="B1016" s="6"/>
      <c r="C1016" s="6"/>
      <c r="D1016" s="6"/>
      <c r="E1016" s="6"/>
      <c r="F1016" s="6"/>
      <c r="G1016" s="6"/>
      <c r="H1016" s="6"/>
      <c r="I1016" s="6"/>
      <c r="J1016" s="6"/>
      <c r="K1016" s="6"/>
      <c r="L1016" s="6"/>
      <c r="M1016" s="6"/>
      <c r="N1016" s="6"/>
      <c r="O1016" s="6"/>
      <c r="P1016" s="6"/>
      <c r="Q1016" s="6"/>
      <c r="R1016" s="6"/>
      <c r="S1016" s="6"/>
      <c r="T1016" s="6"/>
      <c r="U1016" s="6"/>
      <c r="V1016" s="6"/>
      <c r="W1016" s="6"/>
      <c r="X1016" s="6"/>
      <c r="Y1016" s="6"/>
      <c r="Z1016" s="6"/>
    </row>
    <row r="1017">
      <c r="A1017" s="6"/>
      <c r="B1017" s="6"/>
      <c r="C1017" s="6"/>
      <c r="D1017" s="6"/>
      <c r="E1017" s="6"/>
      <c r="F1017" s="6"/>
      <c r="G1017" s="6"/>
      <c r="H1017" s="6"/>
      <c r="I1017" s="6"/>
      <c r="J1017" s="6"/>
      <c r="K1017" s="6"/>
      <c r="L1017" s="6"/>
      <c r="M1017" s="6"/>
      <c r="N1017" s="6"/>
      <c r="O1017" s="6"/>
      <c r="P1017" s="6"/>
      <c r="Q1017" s="6"/>
      <c r="R1017" s="6"/>
      <c r="S1017" s="6"/>
      <c r="T1017" s="6"/>
      <c r="U1017" s="6"/>
      <c r="V1017" s="6"/>
      <c r="W1017" s="6"/>
      <c r="X1017" s="6"/>
      <c r="Y1017" s="6"/>
      <c r="Z1017" s="6"/>
    </row>
    <row r="1018">
      <c r="A1018" s="6"/>
      <c r="B1018" s="6"/>
      <c r="C1018" s="6"/>
      <c r="D1018" s="6"/>
      <c r="E1018" s="6"/>
      <c r="F1018" s="6"/>
      <c r="G1018" s="6"/>
      <c r="H1018" s="6"/>
      <c r="I1018" s="6"/>
      <c r="J1018" s="6"/>
      <c r="K1018" s="6"/>
      <c r="L1018" s="6"/>
      <c r="M1018" s="6"/>
      <c r="N1018" s="6"/>
      <c r="O1018" s="6"/>
      <c r="P1018" s="6"/>
      <c r="Q1018" s="6"/>
      <c r="R1018" s="6"/>
      <c r="S1018" s="6"/>
      <c r="T1018" s="6"/>
      <c r="U1018" s="6"/>
      <c r="V1018" s="6"/>
      <c r="W1018" s="6"/>
      <c r="X1018" s="6"/>
      <c r="Y1018" s="6"/>
      <c r="Z1018" s="6"/>
    </row>
    <row r="1019">
      <c r="A1019" s="6"/>
      <c r="B1019" s="6"/>
      <c r="C1019" s="6"/>
      <c r="D1019" s="6"/>
      <c r="E1019" s="6"/>
      <c r="F1019" s="6"/>
      <c r="G1019" s="6"/>
      <c r="H1019" s="6"/>
      <c r="I1019" s="6"/>
      <c r="J1019" s="6"/>
      <c r="K1019" s="6"/>
      <c r="L1019" s="6"/>
      <c r="M1019" s="6"/>
      <c r="N1019" s="6"/>
      <c r="O1019" s="6"/>
      <c r="P1019" s="6"/>
      <c r="Q1019" s="6"/>
      <c r="R1019" s="6"/>
      <c r="S1019" s="6"/>
      <c r="T1019" s="6"/>
      <c r="U1019" s="6"/>
      <c r="V1019" s="6"/>
      <c r="W1019" s="6"/>
      <c r="X1019" s="6"/>
      <c r="Y1019" s="6"/>
      <c r="Z1019" s="6"/>
    </row>
  </sheetData>
  <mergeCells count="1">
    <mergeCell ref="J1:S1"/>
  </mergeCells>
  <printOptions/>
  <pageMargins bottom="0.5" footer="0.0" header="0.0" left="0.75" right="0.75"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75"/>
  <cols>
    <col customWidth="1" min="1" max="1" width="28.5"/>
    <col customWidth="1" min="2" max="7" width="14.5"/>
    <col customWidth="1" min="8" max="8" width="17.5"/>
    <col customWidth="1" min="9" max="9" width="7.38"/>
    <col customWidth="1" min="10" max="10" width="27.5"/>
    <col customWidth="1" min="11" max="11" width="19.88"/>
    <col customWidth="1" min="12" max="12" width="21.63"/>
    <col customWidth="1" min="13" max="13" width="23.13"/>
    <col customWidth="1" min="14" max="14" width="18.13"/>
    <col customWidth="1" min="15" max="15" width="14.5"/>
    <col customWidth="1" min="16" max="16" width="17.63"/>
    <col customWidth="1" min="17" max="17" width="8.0"/>
    <col customWidth="1" min="18" max="18" width="36.88"/>
    <col customWidth="1" min="19" max="21" width="14.5"/>
    <col customWidth="1" min="22" max="22" width="6.5"/>
    <col customWidth="1" min="23" max="23" width="19.88"/>
    <col customWidth="1" min="24" max="25" width="14.5"/>
    <col customWidth="1" min="26" max="26" width="36.0"/>
    <col customWidth="1" min="27" max="30" width="14.5"/>
  </cols>
  <sheetData>
    <row r="1" ht="15.75" customHeight="1">
      <c r="A1" s="26" t="s">
        <v>68</v>
      </c>
      <c r="B1" s="27"/>
      <c r="C1" s="27"/>
      <c r="D1" s="27"/>
      <c r="E1" s="27"/>
      <c r="F1" s="27"/>
      <c r="G1" s="28"/>
      <c r="H1" s="29"/>
      <c r="I1" s="30"/>
      <c r="J1" s="26" t="s">
        <v>69</v>
      </c>
      <c r="K1" s="27"/>
      <c r="L1" s="27"/>
      <c r="M1" s="27"/>
      <c r="N1" s="27"/>
      <c r="O1" s="27"/>
      <c r="P1" s="28"/>
      <c r="Q1" s="30"/>
      <c r="R1" s="31" t="s">
        <v>70</v>
      </c>
      <c r="S1" s="27"/>
      <c r="T1" s="27"/>
      <c r="U1" s="27"/>
      <c r="V1" s="27"/>
      <c r="W1" s="27"/>
      <c r="X1" s="28"/>
      <c r="Y1" s="30"/>
      <c r="Z1" s="31" t="s">
        <v>71</v>
      </c>
      <c r="AA1" s="27"/>
      <c r="AB1" s="27"/>
      <c r="AC1" s="28"/>
      <c r="AD1" s="30"/>
    </row>
    <row r="2" ht="15.75" customHeight="1">
      <c r="A2" s="32"/>
      <c r="B2" s="32"/>
      <c r="C2" s="32"/>
      <c r="D2" s="32"/>
      <c r="E2" s="32"/>
      <c r="F2" s="32"/>
      <c r="G2" s="32"/>
      <c r="H2" s="32"/>
      <c r="I2" s="30"/>
      <c r="J2" s="30"/>
      <c r="K2" s="30"/>
      <c r="L2" s="30"/>
      <c r="M2" s="30"/>
      <c r="N2" s="30"/>
      <c r="O2" s="30"/>
      <c r="P2" s="30"/>
      <c r="Q2" s="30"/>
      <c r="R2" s="30"/>
      <c r="S2" s="30"/>
      <c r="T2" s="30"/>
      <c r="U2" s="30"/>
      <c r="V2" s="30"/>
      <c r="W2" s="30"/>
      <c r="X2" s="30"/>
      <c r="Y2" s="30"/>
      <c r="Z2" s="30"/>
      <c r="AA2" s="30"/>
      <c r="AB2" s="30"/>
      <c r="AC2" s="30"/>
      <c r="AD2" s="30"/>
    </row>
    <row r="3" ht="15.75" customHeight="1">
      <c r="A3" s="33" t="s">
        <v>72</v>
      </c>
      <c r="B3" s="33" t="s">
        <v>73</v>
      </c>
      <c r="C3" s="33" t="s">
        <v>74</v>
      </c>
      <c r="D3" s="33" t="s">
        <v>75</v>
      </c>
      <c r="E3" s="33" t="s">
        <v>76</v>
      </c>
      <c r="F3" s="33" t="s">
        <v>77</v>
      </c>
      <c r="G3" s="33" t="s">
        <v>28</v>
      </c>
      <c r="H3" s="33" t="s">
        <v>78</v>
      </c>
      <c r="I3" s="30"/>
      <c r="J3" s="33" t="s">
        <v>72</v>
      </c>
      <c r="K3" s="33" t="s">
        <v>79</v>
      </c>
      <c r="L3" s="33" t="s">
        <v>80</v>
      </c>
      <c r="M3" s="33" t="s">
        <v>81</v>
      </c>
      <c r="N3" s="33" t="s">
        <v>82</v>
      </c>
      <c r="O3" s="33" t="s">
        <v>83</v>
      </c>
      <c r="P3" s="33" t="s">
        <v>84</v>
      </c>
      <c r="Q3" s="30"/>
      <c r="R3" s="33" t="s">
        <v>85</v>
      </c>
      <c r="S3" s="33" t="s">
        <v>86</v>
      </c>
      <c r="T3" s="33" t="s">
        <v>87</v>
      </c>
      <c r="U3" s="33" t="s">
        <v>88</v>
      </c>
      <c r="V3" s="30"/>
      <c r="W3" s="33" t="s">
        <v>89</v>
      </c>
      <c r="X3" s="33" t="s">
        <v>90</v>
      </c>
      <c r="Y3" s="30"/>
      <c r="Z3" s="33" t="s">
        <v>91</v>
      </c>
      <c r="AA3" s="33" t="s">
        <v>92</v>
      </c>
      <c r="AB3" s="33" t="s">
        <v>93</v>
      </c>
      <c r="AC3" s="33" t="s">
        <v>94</v>
      </c>
      <c r="AD3" s="30"/>
    </row>
    <row r="4" ht="15.75" customHeight="1">
      <c r="A4" s="34" t="s">
        <v>95</v>
      </c>
      <c r="B4" s="35">
        <v>1.0</v>
      </c>
      <c r="C4" s="35"/>
      <c r="D4" s="35">
        <v>0.2</v>
      </c>
      <c r="E4" s="35"/>
      <c r="F4" s="35"/>
      <c r="G4" s="35">
        <v>0.8</v>
      </c>
      <c r="H4" s="35" t="s">
        <v>73</v>
      </c>
      <c r="I4" s="30"/>
      <c r="J4" s="34" t="s">
        <v>95</v>
      </c>
      <c r="K4" s="35">
        <v>20.0</v>
      </c>
      <c r="L4" s="35">
        <v>10.0</v>
      </c>
      <c r="M4" s="35">
        <v>120.0</v>
      </c>
      <c r="N4" s="35">
        <v>600.0</v>
      </c>
      <c r="O4" s="35">
        <v>1.0</v>
      </c>
      <c r="P4" s="35">
        <v>0.5</v>
      </c>
      <c r="Q4" s="30"/>
      <c r="R4" s="36" t="s">
        <v>96</v>
      </c>
      <c r="S4" s="37">
        <v>2800.0</v>
      </c>
      <c r="T4" s="37">
        <v>3000.0</v>
      </c>
      <c r="U4" s="37">
        <v>2500.0</v>
      </c>
      <c r="V4" s="30"/>
      <c r="W4" s="36">
        <v>1.0</v>
      </c>
      <c r="X4" s="36">
        <v>40.0</v>
      </c>
      <c r="Y4" s="30"/>
      <c r="Z4" s="36" t="s">
        <v>97</v>
      </c>
      <c r="AA4" s="37">
        <v>8000.0</v>
      </c>
      <c r="AB4" s="37">
        <v>15000.0</v>
      </c>
      <c r="AC4" s="37">
        <v>3000.0</v>
      </c>
      <c r="AD4" s="30"/>
    </row>
    <row r="5" ht="15.75" customHeight="1">
      <c r="A5" s="34" t="s">
        <v>98</v>
      </c>
      <c r="B5" s="35">
        <v>1.0</v>
      </c>
      <c r="C5" s="35"/>
      <c r="D5" s="35">
        <v>0.15</v>
      </c>
      <c r="E5" s="35">
        <v>0.05</v>
      </c>
      <c r="F5" s="35"/>
      <c r="G5" s="35">
        <v>0.8</v>
      </c>
      <c r="H5" s="35" t="s">
        <v>73</v>
      </c>
      <c r="I5" s="30"/>
      <c r="J5" s="34" t="s">
        <v>98</v>
      </c>
      <c r="K5" s="35">
        <v>20.0</v>
      </c>
      <c r="L5" s="35">
        <v>10.0</v>
      </c>
      <c r="M5" s="35">
        <v>120.0</v>
      </c>
      <c r="N5" s="35">
        <v>600.0</v>
      </c>
      <c r="O5" s="35">
        <v>1.0</v>
      </c>
      <c r="P5" s="35">
        <v>0.52</v>
      </c>
      <c r="Q5" s="30"/>
      <c r="R5" s="36" t="s">
        <v>99</v>
      </c>
      <c r="S5" s="37">
        <v>5.0</v>
      </c>
      <c r="T5" s="37">
        <v>4.0</v>
      </c>
      <c r="U5" s="37">
        <v>6.0</v>
      </c>
      <c r="V5" s="30"/>
      <c r="W5" s="36">
        <v>2.0</v>
      </c>
      <c r="X5" s="36">
        <v>80.0</v>
      </c>
      <c r="Y5" s="30"/>
      <c r="Z5" s="36" t="s">
        <v>100</v>
      </c>
      <c r="AA5" s="37">
        <v>12000.0</v>
      </c>
      <c r="AB5" s="37">
        <v>20000.0</v>
      </c>
      <c r="AC5" s="37">
        <v>6000.0</v>
      </c>
      <c r="AD5" s="30"/>
    </row>
    <row r="6" ht="15.75" customHeight="1">
      <c r="A6" s="34" t="s">
        <v>101</v>
      </c>
      <c r="B6" s="35">
        <v>1.0</v>
      </c>
      <c r="C6" s="35"/>
      <c r="D6" s="35">
        <v>0.14</v>
      </c>
      <c r="E6" s="35">
        <v>0.05</v>
      </c>
      <c r="F6" s="35">
        <v>0.01</v>
      </c>
      <c r="G6" s="35">
        <v>0.8</v>
      </c>
      <c r="H6" s="35" t="s">
        <v>73</v>
      </c>
      <c r="I6" s="30"/>
      <c r="J6" s="34" t="s">
        <v>101</v>
      </c>
      <c r="K6" s="35">
        <v>20.0</v>
      </c>
      <c r="L6" s="35">
        <v>10.0</v>
      </c>
      <c r="M6" s="35">
        <v>120.0</v>
      </c>
      <c r="N6" s="35">
        <v>600.0</v>
      </c>
      <c r="O6" s="35">
        <v>1.0</v>
      </c>
      <c r="P6" s="35">
        <v>0.6</v>
      </c>
      <c r="Q6" s="30"/>
      <c r="R6" s="36" t="s">
        <v>102</v>
      </c>
      <c r="S6" s="37">
        <v>40000.0</v>
      </c>
      <c r="T6" s="37">
        <v>40000.0</v>
      </c>
      <c r="U6" s="37">
        <v>40000.0</v>
      </c>
      <c r="V6" s="30"/>
      <c r="W6" s="36">
        <v>3.0</v>
      </c>
      <c r="X6" s="36">
        <v>120.0</v>
      </c>
      <c r="Y6" s="30"/>
      <c r="Z6" s="36" t="s">
        <v>103</v>
      </c>
      <c r="AA6" s="37">
        <v>62500.0</v>
      </c>
      <c r="AB6" s="37">
        <v>75000.0</v>
      </c>
      <c r="AC6" s="37">
        <v>50000.0</v>
      </c>
      <c r="AD6" s="30"/>
    </row>
    <row r="7" ht="15.75" customHeight="1">
      <c r="A7" s="34" t="s">
        <v>104</v>
      </c>
      <c r="B7" s="35"/>
      <c r="C7" s="35">
        <v>1.0</v>
      </c>
      <c r="D7" s="35">
        <v>0.06</v>
      </c>
      <c r="E7" s="35"/>
      <c r="F7" s="35"/>
      <c r="G7" s="35">
        <v>0.24</v>
      </c>
      <c r="H7" s="35" t="s">
        <v>74</v>
      </c>
      <c r="I7" s="30"/>
      <c r="J7" s="34" t="s">
        <v>104</v>
      </c>
      <c r="K7" s="35">
        <v>20.0</v>
      </c>
      <c r="L7" s="35">
        <v>48.0</v>
      </c>
      <c r="M7" s="35">
        <v>576.0</v>
      </c>
      <c r="N7" s="35">
        <v>2880.0</v>
      </c>
      <c r="O7" s="35">
        <v>0.3</v>
      </c>
      <c r="P7" s="35">
        <v>0.24</v>
      </c>
      <c r="Q7" s="30"/>
      <c r="R7" s="36" t="s">
        <v>105</v>
      </c>
      <c r="S7" s="37">
        <v>42.0</v>
      </c>
      <c r="T7" s="37">
        <v>42.0</v>
      </c>
      <c r="U7" s="37">
        <v>42.0</v>
      </c>
      <c r="V7" s="30"/>
      <c r="W7" s="36">
        <v>4.0</v>
      </c>
      <c r="X7" s="36">
        <v>144.0</v>
      </c>
      <c r="Y7" s="30"/>
      <c r="Z7" s="36" t="s">
        <v>106</v>
      </c>
      <c r="AA7" s="37">
        <v>135.0</v>
      </c>
      <c r="AB7" s="37">
        <v>160.0</v>
      </c>
      <c r="AC7" s="37">
        <v>100.0</v>
      </c>
      <c r="AD7" s="30"/>
    </row>
    <row r="8" ht="15.75" customHeight="1">
      <c r="A8" s="34" t="s">
        <v>107</v>
      </c>
      <c r="B8" s="35"/>
      <c r="C8" s="35">
        <v>1.0</v>
      </c>
      <c r="D8" s="35">
        <v>0.05</v>
      </c>
      <c r="E8" s="35"/>
      <c r="F8" s="35">
        <v>0.01</v>
      </c>
      <c r="G8" s="35">
        <v>0.24</v>
      </c>
      <c r="H8" s="35" t="s">
        <v>74</v>
      </c>
      <c r="I8" s="30"/>
      <c r="J8" s="34" t="s">
        <v>107</v>
      </c>
      <c r="K8" s="35">
        <v>20.0</v>
      </c>
      <c r="L8" s="35">
        <v>48.0</v>
      </c>
      <c r="M8" s="35">
        <v>576.0</v>
      </c>
      <c r="N8" s="35">
        <v>2880.0</v>
      </c>
      <c r="O8" s="35">
        <v>0.3</v>
      </c>
      <c r="P8" s="35">
        <v>0.35</v>
      </c>
      <c r="Q8" s="30"/>
      <c r="R8" s="36" t="s">
        <v>108</v>
      </c>
      <c r="S8" s="37">
        <v>100000.0</v>
      </c>
      <c r="T8" s="37">
        <v>115000.0</v>
      </c>
      <c r="U8" s="37">
        <v>85000.0</v>
      </c>
      <c r="V8" s="30"/>
      <c r="W8" s="36">
        <v>5.0</v>
      </c>
      <c r="X8" s="36">
        <v>168.0</v>
      </c>
      <c r="Y8" s="30"/>
      <c r="Z8" s="36" t="s">
        <v>63</v>
      </c>
      <c r="AA8" s="37">
        <v>312500.0</v>
      </c>
      <c r="AB8" s="37">
        <v>375000.0</v>
      </c>
      <c r="AC8" s="37">
        <v>250000.0</v>
      </c>
      <c r="AD8" s="30"/>
    </row>
    <row r="9" ht="15.75" customHeight="1">
      <c r="A9" s="34" t="s">
        <v>109</v>
      </c>
      <c r="B9" s="35"/>
      <c r="C9" s="35">
        <v>1.0</v>
      </c>
      <c r="D9" s="35">
        <v>0.045</v>
      </c>
      <c r="E9" s="35">
        <v>0.015</v>
      </c>
      <c r="F9" s="35"/>
      <c r="G9" s="35">
        <v>0.24</v>
      </c>
      <c r="H9" s="35" t="s">
        <v>74</v>
      </c>
      <c r="I9" s="30"/>
      <c r="J9" s="34" t="s">
        <v>109</v>
      </c>
      <c r="K9" s="35">
        <v>20.0</v>
      </c>
      <c r="L9" s="35">
        <v>48.0</v>
      </c>
      <c r="M9" s="35">
        <v>576.0</v>
      </c>
      <c r="N9" s="35">
        <v>2880.0</v>
      </c>
      <c r="O9" s="35">
        <v>0.3</v>
      </c>
      <c r="P9" s="35">
        <v>0.28</v>
      </c>
      <c r="Q9" s="30"/>
      <c r="R9" s="36" t="s">
        <v>110</v>
      </c>
      <c r="S9" s="37">
        <v>500000.0</v>
      </c>
      <c r="T9" s="37">
        <v>575000.0</v>
      </c>
      <c r="U9" s="37">
        <v>425000.0</v>
      </c>
      <c r="V9" s="30"/>
      <c r="W9" s="30"/>
      <c r="X9" s="30"/>
      <c r="Y9" s="30"/>
      <c r="Z9" s="36" t="s">
        <v>111</v>
      </c>
      <c r="AA9" s="37">
        <v>2.0</v>
      </c>
      <c r="AB9" s="37">
        <v>2.0</v>
      </c>
      <c r="AC9" s="37">
        <v>2.0</v>
      </c>
      <c r="AD9" s="30"/>
    </row>
    <row r="10" ht="15.75" customHeight="1">
      <c r="A10" s="30"/>
      <c r="B10" s="30"/>
      <c r="C10" s="30"/>
      <c r="D10" s="30"/>
      <c r="E10" s="30"/>
      <c r="F10" s="30"/>
      <c r="G10" s="30"/>
      <c r="H10" s="30"/>
      <c r="I10" s="30"/>
      <c r="J10" s="38"/>
      <c r="K10" s="30"/>
      <c r="L10" s="30"/>
      <c r="M10" s="30"/>
      <c r="N10" s="30"/>
      <c r="O10" s="30"/>
      <c r="P10" s="30"/>
      <c r="Q10" s="30"/>
      <c r="R10" s="36" t="s">
        <v>112</v>
      </c>
      <c r="S10" s="37">
        <v>2.0</v>
      </c>
      <c r="T10" s="37">
        <v>3.0</v>
      </c>
      <c r="U10" s="37">
        <v>1.0</v>
      </c>
      <c r="V10" s="30"/>
      <c r="W10" s="30"/>
      <c r="X10" s="30"/>
      <c r="Y10" s="30"/>
      <c r="Z10" s="36" t="s">
        <v>113</v>
      </c>
      <c r="AA10" s="37">
        <v>2.0</v>
      </c>
      <c r="AB10" s="37">
        <v>3.0</v>
      </c>
      <c r="AC10" s="37">
        <v>1.0</v>
      </c>
      <c r="AD10" s="30"/>
    </row>
    <row r="11" ht="15.75" customHeight="1">
      <c r="A11" s="39" t="s">
        <v>114</v>
      </c>
      <c r="B11" s="39" t="s">
        <v>79</v>
      </c>
      <c r="C11" s="39" t="s">
        <v>115</v>
      </c>
      <c r="D11" s="39" t="s">
        <v>116</v>
      </c>
      <c r="E11" s="39" t="s">
        <v>117</v>
      </c>
      <c r="F11" s="40"/>
      <c r="G11" s="40"/>
      <c r="H11" s="40"/>
      <c r="I11" s="40"/>
      <c r="J11" s="41"/>
      <c r="K11" s="40"/>
      <c r="L11" s="40"/>
      <c r="M11" s="40"/>
      <c r="N11" s="40"/>
      <c r="O11" s="40"/>
      <c r="P11" s="40"/>
      <c r="Q11" s="40"/>
      <c r="R11" s="36" t="s">
        <v>118</v>
      </c>
      <c r="S11" s="42">
        <v>3.0</v>
      </c>
      <c r="T11" s="42">
        <v>4.0</v>
      </c>
      <c r="U11" s="42">
        <v>2.0</v>
      </c>
      <c r="V11" s="40"/>
      <c r="W11" s="40"/>
      <c r="X11" s="40"/>
      <c r="Y11" s="40"/>
      <c r="Z11" s="43" t="s">
        <v>119</v>
      </c>
      <c r="AA11" s="43">
        <v>2.0</v>
      </c>
      <c r="AB11" s="43">
        <v>3.0</v>
      </c>
      <c r="AC11" s="43">
        <v>2.0</v>
      </c>
      <c r="AD11" s="40"/>
    </row>
    <row r="12" ht="15.75" customHeight="1">
      <c r="A12" s="34" t="s">
        <v>73</v>
      </c>
      <c r="B12" s="34" t="s">
        <v>120</v>
      </c>
      <c r="C12" s="34" t="s">
        <v>120</v>
      </c>
      <c r="D12" s="44">
        <v>20000.0</v>
      </c>
      <c r="E12" s="35">
        <v>0.025</v>
      </c>
      <c r="F12" s="30"/>
      <c r="G12" s="30"/>
      <c r="H12" s="30"/>
      <c r="I12" s="30"/>
      <c r="J12" s="30"/>
      <c r="K12" s="30"/>
      <c r="L12" s="30"/>
      <c r="M12" s="30"/>
      <c r="N12" s="30"/>
      <c r="O12" s="30"/>
      <c r="P12" s="30"/>
      <c r="Q12" s="30"/>
      <c r="R12" s="36" t="s">
        <v>121</v>
      </c>
      <c r="S12" s="37" t="s">
        <v>122</v>
      </c>
      <c r="T12" s="37" t="s">
        <v>123</v>
      </c>
      <c r="U12" s="37" t="s">
        <v>124</v>
      </c>
      <c r="V12" s="30"/>
      <c r="W12" s="30"/>
      <c r="X12" s="30"/>
      <c r="Y12" s="30"/>
      <c r="Z12" s="43" t="s">
        <v>125</v>
      </c>
      <c r="AA12" s="36">
        <v>4.0</v>
      </c>
      <c r="AB12" s="36">
        <v>4.0</v>
      </c>
      <c r="AC12" s="36">
        <v>4.0</v>
      </c>
      <c r="AD12" s="30"/>
    </row>
    <row r="13" ht="15.75" customHeight="1">
      <c r="A13" s="34" t="s">
        <v>74</v>
      </c>
      <c r="B13" s="34" t="s">
        <v>120</v>
      </c>
      <c r="C13" s="35">
        <v>288.0</v>
      </c>
      <c r="D13" s="44">
        <v>1440.0</v>
      </c>
      <c r="E13" s="35">
        <v>0.03</v>
      </c>
      <c r="F13" s="30"/>
      <c r="G13" s="30"/>
      <c r="H13" s="30"/>
      <c r="I13" s="30"/>
      <c r="J13" s="30"/>
      <c r="K13" s="30"/>
      <c r="L13" s="30"/>
      <c r="M13" s="30"/>
      <c r="N13" s="30"/>
      <c r="O13" s="30"/>
      <c r="P13" s="30"/>
      <c r="Q13" s="30"/>
      <c r="R13" s="36" t="s">
        <v>126</v>
      </c>
      <c r="S13" s="45">
        <v>0.1</v>
      </c>
      <c r="T13" s="45">
        <v>0.15</v>
      </c>
      <c r="U13" s="45">
        <v>0.08</v>
      </c>
      <c r="V13" s="30"/>
      <c r="W13" s="30"/>
      <c r="X13" s="30"/>
      <c r="Y13" s="30"/>
      <c r="Z13" s="30"/>
      <c r="AA13" s="30"/>
      <c r="AB13" s="30"/>
      <c r="AC13" s="30"/>
      <c r="AD13" s="30"/>
    </row>
    <row r="14" ht="15.75" customHeight="1">
      <c r="A14" s="34" t="s">
        <v>75</v>
      </c>
      <c r="B14" s="35">
        <v>52.0</v>
      </c>
      <c r="C14" s="34" t="s">
        <v>120</v>
      </c>
      <c r="D14" s="34" t="s">
        <v>120</v>
      </c>
      <c r="E14" s="35">
        <v>0.45</v>
      </c>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row>
    <row r="15" ht="15.75" customHeight="1">
      <c r="A15" s="34" t="s">
        <v>76</v>
      </c>
      <c r="B15" s="35">
        <v>52.0</v>
      </c>
      <c r="C15" s="34" t="s">
        <v>120</v>
      </c>
      <c r="D15" s="34" t="s">
        <v>120</v>
      </c>
      <c r="E15" s="35">
        <v>1.1</v>
      </c>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row>
    <row r="16" ht="15.75" customHeight="1">
      <c r="A16" s="34" t="s">
        <v>77</v>
      </c>
      <c r="B16" s="35">
        <v>52.0</v>
      </c>
      <c r="C16" s="34" t="s">
        <v>120</v>
      </c>
      <c r="D16" s="34" t="s">
        <v>120</v>
      </c>
      <c r="E16" s="35">
        <v>4.0</v>
      </c>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row>
    <row r="17" ht="15.75" customHeight="1">
      <c r="A17" s="30"/>
      <c r="B17" s="30"/>
      <c r="C17" s="30"/>
      <c r="D17" s="30"/>
      <c r="E17" s="30"/>
      <c r="F17" s="30"/>
      <c r="G17" s="30"/>
      <c r="H17" s="30"/>
      <c r="I17" s="30"/>
      <c r="J17" s="30"/>
      <c r="K17" s="30"/>
      <c r="L17" s="30"/>
      <c r="M17" s="30"/>
      <c r="N17" s="30"/>
      <c r="O17" s="30"/>
      <c r="P17" s="30"/>
      <c r="Q17" s="30"/>
      <c r="R17" s="30"/>
      <c r="S17" s="30"/>
      <c r="T17" s="30"/>
      <c r="U17" s="30"/>
      <c r="V17" s="30"/>
      <c r="W17" s="30"/>
      <c r="X17" s="30"/>
      <c r="Y17" s="30"/>
      <c r="Z17" s="30"/>
      <c r="AA17" s="30"/>
      <c r="AB17" s="30"/>
      <c r="AC17" s="30"/>
      <c r="AD17" s="30"/>
    </row>
    <row r="18" ht="15.75" customHeight="1">
      <c r="A18" s="33" t="s">
        <v>127</v>
      </c>
      <c r="B18" s="33" t="s">
        <v>128</v>
      </c>
      <c r="C18" s="30"/>
      <c r="D18" s="30"/>
      <c r="E18" s="30"/>
      <c r="F18" s="30"/>
      <c r="G18" s="30"/>
      <c r="H18" s="30"/>
      <c r="I18" s="30"/>
      <c r="J18" s="30"/>
      <c r="K18" s="30"/>
      <c r="L18" s="30"/>
      <c r="M18" s="30"/>
      <c r="N18" s="30"/>
      <c r="O18" s="30"/>
      <c r="P18" s="30"/>
      <c r="Q18" s="30"/>
      <c r="R18" s="30"/>
      <c r="S18" s="30"/>
      <c r="T18" s="30"/>
      <c r="U18" s="30"/>
      <c r="V18" s="30"/>
      <c r="W18" s="30"/>
      <c r="X18" s="30"/>
      <c r="Y18" s="30"/>
      <c r="Z18" s="30"/>
      <c r="AA18" s="30"/>
      <c r="AB18" s="30"/>
      <c r="AC18" s="30"/>
      <c r="AD18" s="30"/>
    </row>
    <row r="19" ht="15.75" customHeight="1">
      <c r="A19" s="34" t="s">
        <v>129</v>
      </c>
      <c r="B19" s="35">
        <v>250.0</v>
      </c>
      <c r="C19" s="30"/>
      <c r="D19" s="30"/>
      <c r="E19" s="30"/>
      <c r="F19" s="30"/>
      <c r="G19" s="30"/>
      <c r="H19" s="30"/>
      <c r="I19" s="30"/>
      <c r="J19" s="30"/>
      <c r="K19" s="30"/>
      <c r="L19" s="30"/>
      <c r="M19" s="30"/>
      <c r="N19" s="30"/>
      <c r="O19" s="30"/>
      <c r="P19" s="30"/>
      <c r="Q19" s="30"/>
      <c r="R19" s="30"/>
      <c r="S19" s="30"/>
      <c r="T19" s="30"/>
      <c r="U19" s="30"/>
      <c r="V19" s="30"/>
      <c r="W19" s="30"/>
      <c r="X19" s="30"/>
      <c r="Y19" s="30"/>
      <c r="Z19" s="30"/>
      <c r="AA19" s="30"/>
      <c r="AB19" s="30"/>
      <c r="AC19" s="30"/>
      <c r="AD19" s="30"/>
    </row>
    <row r="20" ht="15.75" customHeight="1">
      <c r="A20" s="34" t="s">
        <v>130</v>
      </c>
      <c r="B20" s="44">
        <v>1000.0</v>
      </c>
      <c r="C20" s="30"/>
      <c r="D20" s="30"/>
      <c r="E20" s="30"/>
      <c r="F20" s="30"/>
      <c r="G20" s="30"/>
      <c r="H20" s="30"/>
      <c r="I20" s="30"/>
      <c r="J20" s="30"/>
      <c r="K20" s="30"/>
      <c r="L20" s="30"/>
      <c r="M20" s="30"/>
      <c r="N20" s="30"/>
      <c r="O20" s="30"/>
      <c r="P20" s="30"/>
      <c r="Q20" s="30"/>
      <c r="R20" s="30"/>
      <c r="S20" s="30"/>
      <c r="T20" s="30"/>
      <c r="U20" s="30"/>
      <c r="V20" s="30"/>
      <c r="W20" s="30"/>
      <c r="X20" s="30"/>
      <c r="Y20" s="30"/>
      <c r="Z20" s="30"/>
      <c r="AA20" s="30"/>
      <c r="AB20" s="30"/>
      <c r="AC20" s="30"/>
      <c r="AD20" s="30"/>
    </row>
    <row r="21" ht="15.75" customHeight="1">
      <c r="A21" s="34" t="s">
        <v>131</v>
      </c>
      <c r="B21" s="44">
        <v>30000.0</v>
      </c>
      <c r="C21" s="30"/>
      <c r="D21" s="30"/>
      <c r="E21" s="30"/>
      <c r="F21" s="30"/>
      <c r="G21" s="30"/>
      <c r="H21" s="30"/>
      <c r="I21" s="30"/>
      <c r="J21" s="30"/>
      <c r="K21" s="30"/>
      <c r="L21" s="30"/>
      <c r="M21" s="30"/>
      <c r="N21" s="30"/>
      <c r="O21" s="30"/>
      <c r="P21" s="30"/>
      <c r="Q21" s="30"/>
      <c r="R21" s="30"/>
      <c r="S21" s="30"/>
      <c r="T21" s="30"/>
      <c r="U21" s="30"/>
      <c r="V21" s="30"/>
      <c r="W21" s="30"/>
      <c r="X21" s="30"/>
      <c r="Y21" s="30"/>
      <c r="Z21" s="30"/>
      <c r="AA21" s="30"/>
      <c r="AB21" s="30"/>
      <c r="AC21" s="30"/>
      <c r="AD21" s="30"/>
    </row>
    <row r="22" ht="15.75" customHeight="1">
      <c r="A22" s="34" t="s">
        <v>132</v>
      </c>
      <c r="B22" s="35">
        <v>30.0</v>
      </c>
      <c r="C22" s="30"/>
      <c r="D22" s="30"/>
      <c r="E22" s="30"/>
      <c r="F22" s="30"/>
      <c r="G22" s="30"/>
      <c r="H22" s="30"/>
      <c r="I22" s="30"/>
      <c r="J22" s="30"/>
      <c r="K22" s="30"/>
      <c r="L22" s="30"/>
      <c r="M22" s="30"/>
      <c r="N22" s="30"/>
      <c r="O22" s="30"/>
      <c r="P22" s="30"/>
      <c r="Q22" s="30"/>
      <c r="R22" s="30"/>
      <c r="S22" s="30"/>
      <c r="T22" s="30"/>
      <c r="U22" s="30"/>
      <c r="V22" s="30"/>
      <c r="W22" s="30"/>
      <c r="X22" s="30"/>
      <c r="Y22" s="30"/>
      <c r="Z22" s="30"/>
      <c r="AA22" s="30"/>
      <c r="AB22" s="30"/>
      <c r="AC22" s="30"/>
      <c r="AD22" s="30"/>
    </row>
    <row r="23" ht="15.75" customHeight="1">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row>
    <row r="24" ht="15.75" customHeight="1">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30"/>
      <c r="AA24" s="30"/>
      <c r="AB24" s="30"/>
      <c r="AC24" s="30"/>
      <c r="AD24" s="30"/>
    </row>
    <row r="25" ht="15.75" customHeight="1">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c r="AA25" s="30"/>
      <c r="AB25" s="30"/>
      <c r="AC25" s="30"/>
      <c r="AD25" s="30"/>
    </row>
    <row r="26" ht="15.75" customHeight="1">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c r="AA26" s="30"/>
      <c r="AB26" s="30"/>
      <c r="AC26" s="30"/>
      <c r="AD26" s="30"/>
    </row>
    <row r="27" ht="15.75" customHeight="1">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c r="AA27" s="30"/>
      <c r="AB27" s="30"/>
      <c r="AC27" s="30"/>
      <c r="AD27" s="30"/>
    </row>
    <row r="28" ht="15.75" customHeight="1">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c r="AA28" s="30"/>
      <c r="AB28" s="30"/>
      <c r="AC28" s="30"/>
      <c r="AD28" s="30"/>
    </row>
    <row r="29" ht="15.75" customHeight="1">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c r="AA29" s="30"/>
      <c r="AB29" s="30"/>
      <c r="AC29" s="30"/>
      <c r="AD29" s="30"/>
    </row>
    <row r="30" ht="15.75" customHeight="1">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c r="AA30" s="30"/>
      <c r="AB30" s="30"/>
      <c r="AC30" s="30"/>
      <c r="AD30" s="30"/>
    </row>
    <row r="31" ht="15.75" customHeight="1">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row>
    <row r="32" ht="15.75" customHeight="1">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c r="AA32" s="30"/>
      <c r="AB32" s="30"/>
      <c r="AC32" s="30"/>
      <c r="AD32" s="30"/>
    </row>
    <row r="33">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c r="AA33" s="30"/>
      <c r="AB33" s="30"/>
      <c r="AC33" s="30"/>
      <c r="AD33" s="30"/>
    </row>
    <row r="34">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c r="AA34" s="30"/>
      <c r="AB34" s="30"/>
      <c r="AC34" s="30"/>
      <c r="AD34" s="30"/>
    </row>
    <row r="35">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c r="AA35" s="30"/>
      <c r="AB35" s="30"/>
      <c r="AC35" s="30"/>
      <c r="AD35" s="30"/>
    </row>
    <row r="36">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row>
    <row r="37">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c r="AA37" s="30"/>
      <c r="AB37" s="30"/>
      <c r="AC37" s="30"/>
      <c r="AD37" s="30"/>
    </row>
    <row r="38">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row>
    <row r="39">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row>
    <row r="40">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row>
    <row r="41">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row>
    <row r="42">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row>
    <row r="43">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row>
    <row r="44">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row>
    <row r="45">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row>
    <row r="46">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row>
    <row r="47">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row>
    <row r="48">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row>
    <row r="49">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c r="AA49" s="30"/>
      <c r="AB49" s="30"/>
      <c r="AC49" s="30"/>
      <c r="AD49" s="30"/>
    </row>
    <row r="50">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c r="AA50" s="30"/>
      <c r="AB50" s="30"/>
      <c r="AC50" s="30"/>
      <c r="AD50" s="30"/>
    </row>
    <row r="5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c r="AA51" s="30"/>
      <c r="AB51" s="30"/>
      <c r="AC51" s="30"/>
      <c r="AD51" s="30"/>
    </row>
    <row r="52">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c r="AA52" s="30"/>
      <c r="AB52" s="30"/>
      <c r="AC52" s="30"/>
      <c r="AD52" s="30"/>
    </row>
    <row r="53">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row>
    <row r="54">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c r="AA54" s="30"/>
      <c r="AB54" s="30"/>
      <c r="AC54" s="30"/>
      <c r="AD54" s="30"/>
    </row>
    <row r="55">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row>
    <row r="56">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c r="AA56" s="30"/>
      <c r="AB56" s="30"/>
      <c r="AC56" s="30"/>
      <c r="AD56" s="30"/>
    </row>
    <row r="57">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row>
    <row r="58">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c r="AA58" s="30"/>
      <c r="AB58" s="30"/>
      <c r="AC58" s="30"/>
      <c r="AD58" s="30"/>
    </row>
    <row r="59">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row>
    <row r="60">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row>
    <row r="6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c r="AA61" s="30"/>
      <c r="AB61" s="30"/>
      <c r="AC61" s="30"/>
      <c r="AD61" s="30"/>
    </row>
    <row r="62">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row>
    <row r="63">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c r="AA63" s="30"/>
      <c r="AB63" s="30"/>
      <c r="AC63" s="30"/>
      <c r="AD63" s="30"/>
    </row>
    <row r="64">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row>
    <row r="65">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row>
    <row r="66">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row>
    <row r="67">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c r="AA67" s="30"/>
      <c r="AB67" s="30"/>
      <c r="AC67" s="30"/>
      <c r="AD67" s="30"/>
    </row>
    <row r="68">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row>
    <row r="69">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row>
    <row r="70">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c r="AA70" s="30"/>
      <c r="AB70" s="30"/>
      <c r="AC70" s="30"/>
      <c r="AD70" s="30"/>
    </row>
    <row r="7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c r="AA71" s="30"/>
      <c r="AB71" s="30"/>
      <c r="AC71" s="30"/>
      <c r="AD71" s="30"/>
    </row>
    <row r="72">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c r="AA72" s="30"/>
      <c r="AB72" s="30"/>
      <c r="AC72" s="30"/>
      <c r="AD72" s="30"/>
    </row>
    <row r="73">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c r="AA73" s="30"/>
      <c r="AB73" s="30"/>
      <c r="AC73" s="30"/>
      <c r="AD73" s="30"/>
    </row>
    <row r="74">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c r="AA74" s="30"/>
      <c r="AB74" s="30"/>
      <c r="AC74" s="30"/>
      <c r="AD74" s="30"/>
    </row>
    <row r="75">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c r="AA75" s="30"/>
      <c r="AB75" s="30"/>
      <c r="AC75" s="30"/>
      <c r="AD75" s="30"/>
    </row>
    <row r="76">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c r="AA76" s="30"/>
      <c r="AB76" s="30"/>
      <c r="AC76" s="30"/>
      <c r="AD76" s="30"/>
    </row>
    <row r="77">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c r="AA77" s="30"/>
      <c r="AB77" s="30"/>
      <c r="AC77" s="30"/>
      <c r="AD77" s="30"/>
    </row>
    <row r="78">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c r="AA78" s="30"/>
      <c r="AB78" s="30"/>
      <c r="AC78" s="30"/>
      <c r="AD78" s="30"/>
    </row>
    <row r="79">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c r="AA79" s="30"/>
      <c r="AB79" s="30"/>
      <c r="AC79" s="30"/>
      <c r="AD79" s="30"/>
    </row>
    <row r="80">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c r="AA80" s="30"/>
      <c r="AB80" s="30"/>
      <c r="AC80" s="30"/>
      <c r="AD80" s="30"/>
    </row>
    <row r="8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row>
    <row r="82">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row>
    <row r="83">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c r="AA83" s="30"/>
      <c r="AB83" s="30"/>
      <c r="AC83" s="30"/>
      <c r="AD83" s="30"/>
    </row>
    <row r="84">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row>
    <row r="85">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row>
    <row r="86">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row>
    <row r="87">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row>
    <row r="88">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row>
    <row r="89">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row>
    <row r="90">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row>
    <row r="9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row>
    <row r="92">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row>
    <row r="93">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row>
    <row r="94">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row>
    <row r="95">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row>
    <row r="96">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row>
    <row r="97">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row>
    <row r="98">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row>
    <row r="99">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row>
    <row r="100">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row>
    <row r="10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row>
    <row r="102">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row>
    <row r="103">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row>
    <row r="104">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row>
    <row r="105">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row>
    <row r="106">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row>
    <row r="107">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row>
    <row r="108">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row>
    <row r="109">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row>
    <row r="110">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row>
    <row r="11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row>
    <row r="112">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row>
    <row r="113">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row>
    <row r="114">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row>
    <row r="115">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row>
    <row r="116">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row>
    <row r="117">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row>
    <row r="118">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row>
    <row r="119">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row>
    <row r="120">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row>
    <row r="12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row>
    <row r="12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row>
    <row r="123">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row>
    <row r="124">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row>
    <row r="125">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row>
    <row r="126">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row>
    <row r="127">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row>
    <row r="128">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row>
    <row r="129">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row>
    <row r="130">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row>
    <row r="13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row>
    <row r="13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row>
    <row r="133">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row>
    <row r="134">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row>
    <row r="135">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row>
    <row r="136">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row>
    <row r="137">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row>
    <row r="138">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row>
    <row r="139">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row>
    <row r="140">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row>
    <row r="14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row>
    <row r="14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row>
    <row r="143">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row>
    <row r="144">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row>
    <row r="145">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row>
    <row r="146">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row>
    <row r="147">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row>
    <row r="148">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row>
    <row r="149">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row>
    <row r="150">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row>
    <row r="15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row>
    <row r="15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row>
    <row r="153">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row>
    <row r="154">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row>
    <row r="155">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row>
    <row r="156">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row>
    <row r="157">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row>
    <row r="158">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row>
    <row r="159">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row>
    <row r="160">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row>
    <row r="16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row>
    <row r="16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row>
    <row r="163">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row>
    <row r="164">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row>
    <row r="16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row>
    <row r="166">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row>
    <row r="167">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row>
    <row r="168">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row>
    <row r="169">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row>
    <row r="170">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row>
    <row r="17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row>
    <row r="17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row>
    <row r="173">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row>
    <row r="174">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row>
    <row r="17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row>
    <row r="176">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row>
    <row r="177">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row>
    <row r="178">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row>
    <row r="179">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row>
    <row r="180">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row>
    <row r="18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row>
    <row r="18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row>
    <row r="183">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row>
    <row r="184">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row>
    <row r="18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row>
    <row r="186">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row>
    <row r="187">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row>
    <row r="188">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row>
    <row r="189">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row>
    <row r="190">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row>
    <row r="19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row>
    <row r="19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row>
    <row r="193">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row>
    <row r="194">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row>
    <row r="195">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row>
    <row r="196">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row>
    <row r="197">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row>
    <row r="198">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row>
    <row r="199">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row>
    <row r="200">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row>
    <row r="20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row>
    <row r="202">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row>
    <row r="203">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row>
    <row r="204">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row>
    <row r="205">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row>
    <row r="206">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row>
    <row r="207">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row>
    <row r="208">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row>
    <row r="209">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row>
    <row r="210">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row>
    <row r="21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row>
    <row r="212">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row>
    <row r="213">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row>
    <row r="214">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c r="AB214" s="30"/>
      <c r="AC214" s="30"/>
      <c r="AD214" s="30"/>
    </row>
    <row r="21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c r="AB215" s="30"/>
      <c r="AC215" s="30"/>
      <c r="AD215" s="30"/>
    </row>
    <row r="216">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c r="AB216" s="30"/>
      <c r="AC216" s="30"/>
      <c r="AD216" s="30"/>
    </row>
    <row r="217">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row>
    <row r="218">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c r="AB218" s="30"/>
      <c r="AC218" s="30"/>
      <c r="AD218" s="30"/>
    </row>
    <row r="219">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row>
    <row r="220">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row>
    <row r="22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c r="AB221" s="30"/>
      <c r="AC221" s="30"/>
      <c r="AD221" s="30"/>
    </row>
    <row r="222">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c r="AA222" s="30"/>
      <c r="AB222" s="30"/>
      <c r="AC222" s="30"/>
      <c r="AD222" s="30"/>
    </row>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4">
    <mergeCell ref="A1:G1"/>
    <mergeCell ref="J1:P1"/>
    <mergeCell ref="R1:X1"/>
    <mergeCell ref="Z1:AC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88"/>
    <col customWidth="1" min="7" max="7" width="17.0"/>
    <col customWidth="1" min="8" max="8" width="22.63"/>
    <col customWidth="1" min="9" max="9" width="22.5"/>
    <col customWidth="1" min="10" max="10" width="16.13"/>
    <col customWidth="1" min="11" max="12" width="23.0"/>
  </cols>
  <sheetData>
    <row r="1">
      <c r="A1" s="46" t="s">
        <v>133</v>
      </c>
      <c r="B1" s="47" t="s">
        <v>95</v>
      </c>
      <c r="C1" s="48">
        <v>68.429</v>
      </c>
      <c r="F1" s="49" t="s">
        <v>134</v>
      </c>
      <c r="G1" s="49" t="s">
        <v>135</v>
      </c>
      <c r="H1" s="49" t="s">
        <v>74</v>
      </c>
      <c r="I1" s="49" t="s">
        <v>75</v>
      </c>
      <c r="J1" s="49" t="s">
        <v>76</v>
      </c>
      <c r="K1" s="49" t="s">
        <v>77</v>
      </c>
    </row>
    <row r="2">
      <c r="A2" s="50"/>
      <c r="B2" s="47" t="s">
        <v>98</v>
      </c>
      <c r="C2" s="48">
        <v>11.385</v>
      </c>
      <c r="D2" s="51"/>
      <c r="F2" s="52" t="s">
        <v>133</v>
      </c>
      <c r="G2" s="53">
        <v>133740.0</v>
      </c>
      <c r="H2" s="53">
        <v>205236.0</v>
      </c>
      <c r="I2" s="53">
        <v>34559.0</v>
      </c>
      <c r="J2" s="53">
        <v>3821.0</v>
      </c>
      <c r="K2" s="53">
        <v>683.0</v>
      </c>
    </row>
    <row r="3">
      <c r="A3" s="50"/>
      <c r="B3" s="47" t="s">
        <v>101</v>
      </c>
      <c r="C3" s="48">
        <v>42.857</v>
      </c>
      <c r="D3" s="51"/>
      <c r="F3" s="52" t="s">
        <v>136</v>
      </c>
      <c r="G3" s="53">
        <v>135540.0</v>
      </c>
      <c r="H3" s="53">
        <v>210679.0</v>
      </c>
      <c r="I3" s="53">
        <v>35170.0</v>
      </c>
      <c r="J3" s="53">
        <v>3881.0</v>
      </c>
      <c r="K3" s="53">
        <v>697.0</v>
      </c>
    </row>
    <row r="4">
      <c r="A4" s="50"/>
      <c r="B4" s="47" t="s">
        <v>104</v>
      </c>
      <c r="C4" s="48">
        <v>117.495</v>
      </c>
      <c r="D4" s="51"/>
      <c r="F4" s="52" t="s">
        <v>137</v>
      </c>
      <c r="G4" s="53">
        <v>136333.0</v>
      </c>
      <c r="H4" s="53">
        <v>207615.0</v>
      </c>
      <c r="I4" s="53">
        <v>35215.0</v>
      </c>
      <c r="J4" s="53">
        <v>3837.0</v>
      </c>
      <c r="K4" s="53">
        <v>672.0</v>
      </c>
    </row>
    <row r="5">
      <c r="A5" s="50"/>
      <c r="B5" s="47" t="s">
        <v>107</v>
      </c>
      <c r="C5" s="48">
        <v>18.456</v>
      </c>
      <c r="D5" s="54"/>
      <c r="F5" s="52" t="s">
        <v>138</v>
      </c>
      <c r="G5" s="53">
        <v>130489.0</v>
      </c>
      <c r="H5" s="53">
        <v>196949.0</v>
      </c>
      <c r="I5" s="53">
        <v>33598.0</v>
      </c>
      <c r="J5" s="53">
        <v>3665.0</v>
      </c>
      <c r="K5" s="53">
        <v>651.0</v>
      </c>
    </row>
    <row r="6">
      <c r="A6" s="55"/>
      <c r="B6" s="47" t="s">
        <v>109</v>
      </c>
      <c r="C6" s="48">
        <v>52.058</v>
      </c>
      <c r="D6" s="54"/>
      <c r="F6" s="52" t="s">
        <v>139</v>
      </c>
      <c r="G6" s="56"/>
      <c r="H6" s="56"/>
      <c r="I6" s="56"/>
      <c r="J6" s="56"/>
      <c r="K6" s="56"/>
    </row>
    <row r="7">
      <c r="A7" s="46" t="s">
        <v>136</v>
      </c>
      <c r="B7" s="47" t="s">
        <v>95</v>
      </c>
      <c r="C7" s="48">
        <v>68.429</v>
      </c>
      <c r="D7" s="51"/>
      <c r="F7" s="52" t="s">
        <v>140</v>
      </c>
      <c r="G7" s="56"/>
      <c r="H7" s="56"/>
      <c r="I7" s="56"/>
      <c r="J7" s="56"/>
      <c r="K7" s="56"/>
    </row>
    <row r="8">
      <c r="A8" s="50"/>
      <c r="B8" s="47" t="s">
        <v>98</v>
      </c>
      <c r="C8" s="48">
        <v>11.385</v>
      </c>
      <c r="D8" s="51"/>
    </row>
    <row r="9">
      <c r="A9" s="50"/>
      <c r="B9" s="47" t="s">
        <v>101</v>
      </c>
      <c r="C9" s="48">
        <v>42.857</v>
      </c>
      <c r="D9" s="51"/>
    </row>
    <row r="10">
      <c r="A10" s="50"/>
      <c r="B10" s="47" t="s">
        <v>104</v>
      </c>
      <c r="C10" s="48">
        <v>117.495</v>
      </c>
      <c r="D10" s="51"/>
    </row>
    <row r="11">
      <c r="A11" s="50"/>
      <c r="B11" s="47" t="s">
        <v>107</v>
      </c>
      <c r="C11" s="48">
        <v>18.456</v>
      </c>
      <c r="D11" s="51"/>
    </row>
    <row r="12">
      <c r="A12" s="55"/>
      <c r="B12" s="47" t="s">
        <v>109</v>
      </c>
      <c r="C12" s="48">
        <v>52.058</v>
      </c>
      <c r="D12" s="51"/>
    </row>
    <row r="13">
      <c r="A13" s="46" t="s">
        <v>137</v>
      </c>
      <c r="B13" s="47" t="s">
        <v>95</v>
      </c>
      <c r="C13" s="48">
        <v>68.429</v>
      </c>
      <c r="D13" s="54"/>
    </row>
    <row r="14">
      <c r="A14" s="50"/>
      <c r="B14" s="47" t="s">
        <v>98</v>
      </c>
      <c r="C14" s="48">
        <v>11.385</v>
      </c>
      <c r="D14" s="54"/>
    </row>
    <row r="15">
      <c r="A15" s="50"/>
      <c r="B15" s="47" t="s">
        <v>101</v>
      </c>
      <c r="C15" s="48">
        <v>42.857</v>
      </c>
      <c r="D15" s="51"/>
    </row>
    <row r="16">
      <c r="A16" s="50"/>
      <c r="B16" s="47" t="s">
        <v>104</v>
      </c>
      <c r="C16" s="48">
        <v>117.494</v>
      </c>
      <c r="D16" s="51"/>
    </row>
    <row r="17">
      <c r="A17" s="50"/>
      <c r="B17" s="47" t="s">
        <v>107</v>
      </c>
      <c r="C17" s="48">
        <v>18.454</v>
      </c>
      <c r="D17" s="51"/>
    </row>
    <row r="18">
      <c r="A18" s="55"/>
      <c r="B18" s="47" t="s">
        <v>109</v>
      </c>
      <c r="C18" s="48">
        <v>52.057</v>
      </c>
      <c r="D18" s="51"/>
    </row>
    <row r="19">
      <c r="A19" s="46" t="s">
        <v>138</v>
      </c>
      <c r="B19" s="47" t="s">
        <v>95</v>
      </c>
      <c r="C19" s="57">
        <v>68429.0</v>
      </c>
      <c r="D19" s="51"/>
    </row>
    <row r="20">
      <c r="A20" s="50"/>
      <c r="B20" s="47" t="s">
        <v>98</v>
      </c>
      <c r="C20" s="57">
        <v>11385.0</v>
      </c>
      <c r="D20" s="51"/>
    </row>
    <row r="21">
      <c r="A21" s="50"/>
      <c r="B21" s="47" t="s">
        <v>101</v>
      </c>
      <c r="C21" s="57">
        <v>42857.0</v>
      </c>
      <c r="D21" s="51"/>
    </row>
    <row r="22">
      <c r="A22" s="50"/>
      <c r="B22" s="47" t="s">
        <v>104</v>
      </c>
      <c r="C22" s="57">
        <v>117494.0</v>
      </c>
      <c r="D22" s="51"/>
    </row>
    <row r="23">
      <c r="A23" s="50"/>
      <c r="B23" s="47" t="s">
        <v>107</v>
      </c>
      <c r="C23" s="57">
        <v>18454.0</v>
      </c>
    </row>
    <row r="24">
      <c r="A24" s="55"/>
      <c r="B24" s="47" t="s">
        <v>109</v>
      </c>
      <c r="C24" s="57">
        <v>52057.0</v>
      </c>
    </row>
    <row r="25">
      <c r="A25" s="46" t="s">
        <v>139</v>
      </c>
      <c r="B25" s="47" t="s">
        <v>95</v>
      </c>
      <c r="C25" s="57"/>
      <c r="E25" s="58">
        <v>68.429</v>
      </c>
    </row>
    <row r="26">
      <c r="A26" s="50"/>
      <c r="B26" s="47" t="s">
        <v>98</v>
      </c>
      <c r="C26" s="57"/>
      <c r="E26" s="59">
        <v>11.385</v>
      </c>
    </row>
    <row r="27">
      <c r="A27" s="50"/>
      <c r="B27" s="47" t="s">
        <v>101</v>
      </c>
      <c r="C27" s="57"/>
      <c r="D27" s="60" t="s">
        <v>141</v>
      </c>
      <c r="E27" s="58">
        <v>42.857</v>
      </c>
    </row>
    <row r="28">
      <c r="A28" s="50"/>
      <c r="B28" s="47" t="s">
        <v>104</v>
      </c>
      <c r="C28" s="57"/>
      <c r="E28" s="59">
        <v>117.495</v>
      </c>
    </row>
    <row r="29">
      <c r="A29" s="50"/>
      <c r="B29" s="47" t="s">
        <v>107</v>
      </c>
      <c r="C29" s="57"/>
      <c r="E29" s="58">
        <v>18.456</v>
      </c>
    </row>
    <row r="30">
      <c r="A30" s="55"/>
      <c r="B30" s="47" t="s">
        <v>109</v>
      </c>
      <c r="C30" s="57"/>
      <c r="E30" s="59">
        <v>52.058</v>
      </c>
    </row>
    <row r="31">
      <c r="C31" s="61"/>
    </row>
    <row r="32">
      <c r="C32" s="61"/>
    </row>
  </sheetData>
  <mergeCells count="5">
    <mergeCell ref="A1:A6"/>
    <mergeCell ref="A7:A12"/>
    <mergeCell ref="A13:A18"/>
    <mergeCell ref="A19:A24"/>
    <mergeCell ref="A25:A3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75"/>
  <cols>
    <col customWidth="1" min="1" max="1" width="30.5"/>
    <col customWidth="1" min="2" max="2" width="16.38"/>
    <col customWidth="1" min="3" max="3" width="17.5"/>
    <col customWidth="1" min="4" max="6" width="14.88"/>
    <col customWidth="1" min="7" max="7" width="19.88"/>
    <col customWidth="1" min="8" max="8" width="14.88"/>
    <col customWidth="1" min="9" max="9" width="14.5"/>
    <col customWidth="1" min="10" max="10" width="17.5"/>
    <col customWidth="1" min="11" max="11" width="27.5"/>
    <col customWidth="1" min="12" max="12" width="16.63"/>
    <col customWidth="1" min="13" max="15" width="16.38"/>
    <col customWidth="1" min="16" max="27" width="14.5"/>
  </cols>
  <sheetData>
    <row r="1" ht="24.0" customHeight="1">
      <c r="A1" s="62" t="s">
        <v>142</v>
      </c>
      <c r="B1" s="27"/>
      <c r="C1" s="27"/>
      <c r="D1" s="27"/>
      <c r="E1" s="27"/>
      <c r="F1" s="27"/>
      <c r="G1" s="27"/>
      <c r="H1" s="27"/>
      <c r="I1" s="27"/>
      <c r="J1" s="27"/>
      <c r="K1" s="27"/>
      <c r="L1" s="27"/>
      <c r="M1" s="27"/>
      <c r="N1" s="27"/>
      <c r="O1" s="28"/>
    </row>
    <row r="2">
      <c r="A2" s="63" t="s">
        <v>143</v>
      </c>
      <c r="N2" s="63"/>
      <c r="O2" s="63"/>
    </row>
    <row r="3">
      <c r="A3" s="64"/>
      <c r="B3" s="64"/>
      <c r="C3" s="64"/>
      <c r="D3" s="64"/>
      <c r="E3" s="64"/>
      <c r="F3" s="64"/>
      <c r="G3" s="65" t="s">
        <v>144</v>
      </c>
      <c r="H3" s="66"/>
      <c r="I3" s="64"/>
      <c r="J3" s="64"/>
      <c r="K3" s="64"/>
      <c r="L3" s="64"/>
      <c r="M3" s="64"/>
      <c r="N3" s="64"/>
      <c r="O3" s="64"/>
    </row>
    <row r="4">
      <c r="A4" s="67" t="s">
        <v>72</v>
      </c>
      <c r="B4" s="67" t="s">
        <v>78</v>
      </c>
      <c r="C4" s="67" t="s">
        <v>145</v>
      </c>
      <c r="D4" s="68" t="s">
        <v>146</v>
      </c>
      <c r="E4" s="68" t="s">
        <v>147</v>
      </c>
      <c r="F4" s="67" t="s">
        <v>148</v>
      </c>
      <c r="G4" s="67" t="s">
        <v>149</v>
      </c>
      <c r="H4" s="67" t="s">
        <v>150</v>
      </c>
      <c r="I4" s="67" t="s">
        <v>151</v>
      </c>
      <c r="J4" s="67" t="s">
        <v>152</v>
      </c>
      <c r="K4" s="67" t="s">
        <v>153</v>
      </c>
      <c r="L4" s="67" t="s">
        <v>154</v>
      </c>
      <c r="M4" s="64"/>
      <c r="N4" s="64"/>
      <c r="O4" s="64"/>
    </row>
    <row r="5" ht="15.75" customHeight="1">
      <c r="A5" s="69" t="s">
        <v>95</v>
      </c>
      <c r="B5" s="34" t="str">
        <f>VLOOKUP(A5,BOM!$A:$H,8,0)</f>
        <v>Pack 1L</v>
      </c>
      <c r="C5" s="70">
        <f>Demand!C19</f>
        <v>68429</v>
      </c>
      <c r="D5" s="71">
        <v>0.129</v>
      </c>
      <c r="E5" s="72">
        <f t="shared" ref="E5:E10" si="1">C5*(1+D5)</f>
        <v>77256.341</v>
      </c>
      <c r="F5" s="73">
        <v>2.5</v>
      </c>
      <c r="G5" s="73">
        <v>2.0</v>
      </c>
      <c r="H5" s="72">
        <f t="shared" ref="H5:H10" si="2">G5</f>
        <v>2</v>
      </c>
      <c r="I5" s="72">
        <f t="shared" ref="I5:I10" si="3">26/H5</f>
        <v>13</v>
      </c>
      <c r="J5" s="74">
        <f t="shared" ref="J5:J10" si="4">$E5*F5</f>
        <v>193140.8525</v>
      </c>
      <c r="K5" s="74">
        <f t="shared" ref="K5:K10" si="5">$C5*26/I5</f>
        <v>136858</v>
      </c>
      <c r="L5" s="74">
        <f t="shared" ref="L5:L10" si="6">J5+K5/2</f>
        <v>261569.8525</v>
      </c>
      <c r="M5" s="64"/>
      <c r="N5" s="64"/>
      <c r="O5" s="64"/>
    </row>
    <row r="6" ht="15.75" customHeight="1">
      <c r="A6" s="69" t="s">
        <v>98</v>
      </c>
      <c r="B6" s="34" t="str">
        <f>VLOOKUP(A6,BOM!$A:$H,8,0)</f>
        <v>Pack 1L</v>
      </c>
      <c r="C6" s="70">
        <f>Demand!C20</f>
        <v>11385</v>
      </c>
      <c r="D6" s="71">
        <v>0.122</v>
      </c>
      <c r="E6" s="72">
        <f t="shared" si="1"/>
        <v>12773.97</v>
      </c>
      <c r="F6" s="73">
        <v>3.0</v>
      </c>
      <c r="G6" s="73">
        <v>2.0</v>
      </c>
      <c r="H6" s="72">
        <f t="shared" si="2"/>
        <v>2</v>
      </c>
      <c r="I6" s="72">
        <f t="shared" si="3"/>
        <v>13</v>
      </c>
      <c r="J6" s="74">
        <f t="shared" si="4"/>
        <v>38321.91</v>
      </c>
      <c r="K6" s="74">
        <f t="shared" si="5"/>
        <v>22770</v>
      </c>
      <c r="L6" s="74">
        <f t="shared" si="6"/>
        <v>49706.91</v>
      </c>
      <c r="M6" s="64"/>
      <c r="N6" s="64"/>
      <c r="O6" s="64"/>
    </row>
    <row r="7" ht="15.75" customHeight="1">
      <c r="A7" s="69" t="s">
        <v>101</v>
      </c>
      <c r="B7" s="34" t="str">
        <f>VLOOKUP(A7,BOM!$A:$H,8,0)</f>
        <v>Pack 1L</v>
      </c>
      <c r="C7" s="70">
        <f>Demand!C21</f>
        <v>42857</v>
      </c>
      <c r="D7" s="71">
        <v>0.07</v>
      </c>
      <c r="E7" s="72">
        <f t="shared" si="1"/>
        <v>45856.99</v>
      </c>
      <c r="F7" s="73">
        <v>2.0</v>
      </c>
      <c r="G7" s="73">
        <v>2.0</v>
      </c>
      <c r="H7" s="72">
        <f t="shared" si="2"/>
        <v>2</v>
      </c>
      <c r="I7" s="72">
        <f t="shared" si="3"/>
        <v>13</v>
      </c>
      <c r="J7" s="74">
        <f t="shared" si="4"/>
        <v>91713.98</v>
      </c>
      <c r="K7" s="74">
        <f t="shared" si="5"/>
        <v>85714</v>
      </c>
      <c r="L7" s="74">
        <f t="shared" si="6"/>
        <v>134570.98</v>
      </c>
      <c r="M7" s="64"/>
      <c r="N7" s="64"/>
      <c r="O7" s="64"/>
    </row>
    <row r="8" ht="15.75" customHeight="1">
      <c r="A8" s="69" t="s">
        <v>104</v>
      </c>
      <c r="B8" s="34" t="str">
        <f>VLOOKUP(A8,BOM!$A:$H,8,0)</f>
        <v>PET</v>
      </c>
      <c r="C8" s="70">
        <f>Demand!C22</f>
        <v>117494</v>
      </c>
      <c r="D8" s="71">
        <v>0.063</v>
      </c>
      <c r="E8" s="72">
        <f t="shared" si="1"/>
        <v>124896.122</v>
      </c>
      <c r="F8" s="73">
        <v>2.0</v>
      </c>
      <c r="G8" s="75">
        <v>2.0</v>
      </c>
      <c r="H8" s="72">
        <f t="shared" si="2"/>
        <v>2</v>
      </c>
      <c r="I8" s="72">
        <f t="shared" si="3"/>
        <v>13</v>
      </c>
      <c r="J8" s="74">
        <f t="shared" si="4"/>
        <v>249792.244</v>
      </c>
      <c r="K8" s="74">
        <f t="shared" si="5"/>
        <v>234988</v>
      </c>
      <c r="L8" s="74">
        <f t="shared" si="6"/>
        <v>367286.244</v>
      </c>
      <c r="M8" s="64"/>
      <c r="N8" s="64"/>
      <c r="O8" s="64"/>
    </row>
    <row r="9" ht="15.75" customHeight="1">
      <c r="A9" s="69" t="s">
        <v>107</v>
      </c>
      <c r="B9" s="34" t="str">
        <f>VLOOKUP(A9,BOM!$A:$H,8,0)</f>
        <v>PET</v>
      </c>
      <c r="C9" s="70">
        <f>Demand!C23</f>
        <v>18454</v>
      </c>
      <c r="D9" s="71">
        <v>0.088</v>
      </c>
      <c r="E9" s="72">
        <f t="shared" si="1"/>
        <v>20077.952</v>
      </c>
      <c r="F9" s="73">
        <v>2.5</v>
      </c>
      <c r="G9" s="75">
        <v>2.0</v>
      </c>
      <c r="H9" s="72">
        <f t="shared" si="2"/>
        <v>2</v>
      </c>
      <c r="I9" s="72">
        <f t="shared" si="3"/>
        <v>13</v>
      </c>
      <c r="J9" s="74">
        <f t="shared" si="4"/>
        <v>50194.88</v>
      </c>
      <c r="K9" s="74">
        <f t="shared" si="5"/>
        <v>36908</v>
      </c>
      <c r="L9" s="74">
        <f t="shared" si="6"/>
        <v>68648.88</v>
      </c>
      <c r="M9" s="64"/>
      <c r="N9" s="64"/>
      <c r="O9" s="64"/>
    </row>
    <row r="10" ht="15.75" customHeight="1">
      <c r="A10" s="69" t="s">
        <v>109</v>
      </c>
      <c r="B10" s="34" t="str">
        <f>VLOOKUP(A10,BOM!$A:$H,8,0)</f>
        <v>PET</v>
      </c>
      <c r="C10" s="70">
        <f>Demand!C24</f>
        <v>52057</v>
      </c>
      <c r="D10" s="71">
        <v>0.117</v>
      </c>
      <c r="E10" s="72">
        <f t="shared" si="1"/>
        <v>58147.669</v>
      </c>
      <c r="F10" s="73">
        <v>2.5</v>
      </c>
      <c r="G10" s="75">
        <v>2.0</v>
      </c>
      <c r="H10" s="72">
        <f t="shared" si="2"/>
        <v>2</v>
      </c>
      <c r="I10" s="72">
        <f t="shared" si="3"/>
        <v>13</v>
      </c>
      <c r="J10" s="74">
        <f t="shared" si="4"/>
        <v>145369.1725</v>
      </c>
      <c r="K10" s="74">
        <f t="shared" si="5"/>
        <v>104114</v>
      </c>
      <c r="L10" s="74">
        <f t="shared" si="6"/>
        <v>197426.1725</v>
      </c>
      <c r="M10" s="64"/>
      <c r="N10" s="64"/>
      <c r="O10" s="64"/>
    </row>
    <row r="11">
      <c r="A11" s="64"/>
      <c r="B11" s="64"/>
      <c r="C11" s="64"/>
      <c r="D11" s="64"/>
      <c r="E11" s="64"/>
      <c r="F11" s="64"/>
      <c r="G11" s="64"/>
      <c r="H11" s="64"/>
      <c r="I11" s="64"/>
      <c r="J11" s="64"/>
      <c r="K11" s="64"/>
      <c r="L11" s="64"/>
      <c r="M11" s="64"/>
      <c r="N11" s="64"/>
      <c r="O11" s="64"/>
    </row>
    <row r="12">
      <c r="A12" s="76" t="s">
        <v>155</v>
      </c>
      <c r="B12" s="5"/>
      <c r="C12" s="67" t="s">
        <v>156</v>
      </c>
      <c r="D12" s="67" t="s">
        <v>148</v>
      </c>
      <c r="E12" s="67" t="s">
        <v>149</v>
      </c>
      <c r="F12" s="67" t="s">
        <v>157</v>
      </c>
      <c r="G12" s="67" t="s">
        <v>151</v>
      </c>
      <c r="H12" s="67" t="s">
        <v>152</v>
      </c>
      <c r="I12" s="67" t="s">
        <v>153</v>
      </c>
      <c r="J12" s="67" t="s">
        <v>158</v>
      </c>
      <c r="K12" s="67" t="s">
        <v>116</v>
      </c>
      <c r="L12" s="67" t="s">
        <v>159</v>
      </c>
      <c r="M12" s="77" t="s">
        <v>160</v>
      </c>
      <c r="N12" s="78"/>
    </row>
    <row r="13">
      <c r="A13" s="79" t="s">
        <v>114</v>
      </c>
      <c r="B13" s="80" t="s">
        <v>73</v>
      </c>
      <c r="C13" s="74">
        <f t="shared" ref="C13:C14" si="7">SUMIFS($E$5:$E$10,$B$5:$B$10,$B13)</f>
        <v>135887.301</v>
      </c>
      <c r="D13" s="81">
        <v>1.5</v>
      </c>
      <c r="E13" s="81">
        <v>2.0</v>
      </c>
      <c r="F13" s="72">
        <f t="shared" ref="F13:F14" si="8">E13</f>
        <v>2</v>
      </c>
      <c r="G13" s="72">
        <f t="shared" ref="G13:G14" si="9">26/F13</f>
        <v>13</v>
      </c>
      <c r="H13" s="74">
        <f t="shared" ref="H13:H14" si="10">$C13*D13</f>
        <v>203830.9515</v>
      </c>
      <c r="I13" s="74">
        <f t="shared" ref="I13:I14" si="11">C13*E13</f>
        <v>271774.602</v>
      </c>
      <c r="J13" s="74">
        <f t="shared" ref="J13:J14" si="12">H13+I13/2</f>
        <v>339718.2525</v>
      </c>
      <c r="K13" s="74">
        <f>VLOOKUP(B13,BOM!A:H,4,0)</f>
        <v>20000</v>
      </c>
      <c r="L13" s="74">
        <f t="shared" ref="L13:L14" si="13">J13/K13</f>
        <v>16.98591263</v>
      </c>
      <c r="M13" s="74">
        <f t="shared" ref="M13:M14" si="14">(H13+I13)/K13</f>
        <v>23.78027768</v>
      </c>
      <c r="N13" s="82"/>
      <c r="O13" s="83" t="s">
        <v>161</v>
      </c>
      <c r="P13" s="83" t="s">
        <v>162</v>
      </c>
    </row>
    <row r="14">
      <c r="A14" s="55"/>
      <c r="B14" s="80" t="s">
        <v>74</v>
      </c>
      <c r="C14" s="74">
        <f t="shared" si="7"/>
        <v>203121.743</v>
      </c>
      <c r="D14" s="81">
        <v>2.0</v>
      </c>
      <c r="E14" s="81">
        <v>2.9</v>
      </c>
      <c r="F14" s="72">
        <f t="shared" si="8"/>
        <v>2.9</v>
      </c>
      <c r="G14" s="84">
        <f t="shared" si="9"/>
        <v>8.965517241</v>
      </c>
      <c r="H14" s="74">
        <f t="shared" si="10"/>
        <v>406243.486</v>
      </c>
      <c r="I14" s="74">
        <f t="shared" si="11"/>
        <v>589053.0547</v>
      </c>
      <c r="J14" s="74">
        <f t="shared" si="12"/>
        <v>700770.0134</v>
      </c>
      <c r="K14" s="74">
        <f>VLOOKUP(B14,BOM!A:H,4,0)</f>
        <v>1440</v>
      </c>
      <c r="L14" s="74">
        <f t="shared" si="13"/>
        <v>486.6458426</v>
      </c>
      <c r="M14" s="74">
        <f t="shared" si="14"/>
        <v>691.1781533</v>
      </c>
      <c r="N14" s="82"/>
      <c r="O14" s="83" t="s">
        <v>135</v>
      </c>
      <c r="P14" s="83" t="s">
        <v>163</v>
      </c>
    </row>
    <row r="15">
      <c r="A15" s="64"/>
      <c r="B15" s="64"/>
      <c r="C15" s="64"/>
      <c r="D15" s="64"/>
      <c r="E15" s="64"/>
      <c r="F15" s="64"/>
      <c r="G15" s="64"/>
      <c r="H15" s="64"/>
      <c r="I15" s="64"/>
      <c r="J15" s="64"/>
      <c r="K15" s="64"/>
      <c r="L15" s="64"/>
      <c r="M15" s="64"/>
      <c r="N15" s="64"/>
      <c r="O15" s="83" t="s">
        <v>74</v>
      </c>
    </row>
    <row r="16">
      <c r="A16" s="64"/>
      <c r="B16" s="65" t="s">
        <v>164</v>
      </c>
      <c r="C16" s="65" t="s">
        <v>165</v>
      </c>
      <c r="D16" s="65" t="s">
        <v>166</v>
      </c>
      <c r="E16" s="65" t="s">
        <v>165</v>
      </c>
      <c r="F16" s="64"/>
      <c r="G16" s="64"/>
      <c r="H16" s="64"/>
      <c r="I16" s="85" t="s">
        <v>167</v>
      </c>
      <c r="J16" s="64"/>
      <c r="K16" s="64"/>
      <c r="L16" s="64"/>
      <c r="M16" s="64"/>
      <c r="N16" s="64"/>
      <c r="O16" s="83" t="s">
        <v>168</v>
      </c>
    </row>
    <row r="17">
      <c r="A17" s="86" t="s">
        <v>169</v>
      </c>
      <c r="B17" s="87">
        <f>SUM(L13:L14)</f>
        <v>503.6317552</v>
      </c>
      <c r="C17" s="87">
        <f>B17*1.2</f>
        <v>604.3581063</v>
      </c>
      <c r="D17" s="87">
        <f>sum(M13:M14)</f>
        <v>714.9584309</v>
      </c>
      <c r="E17" s="87">
        <f>D17*1.2</f>
        <v>857.9501171</v>
      </c>
      <c r="F17" s="64"/>
      <c r="G17" s="64"/>
      <c r="H17" s="64"/>
      <c r="I17" s="64"/>
      <c r="J17" s="64"/>
      <c r="K17" s="64"/>
      <c r="L17" s="64"/>
      <c r="M17" s="64"/>
      <c r="N17" s="64"/>
      <c r="O17" s="83" t="s">
        <v>170</v>
      </c>
    </row>
    <row r="18">
      <c r="A18" s="64"/>
      <c r="B18" s="64"/>
      <c r="C18" s="64"/>
      <c r="D18" s="64"/>
      <c r="E18" s="64"/>
      <c r="F18" s="64"/>
      <c r="G18" s="64"/>
      <c r="H18" s="64"/>
      <c r="I18" s="64"/>
      <c r="J18" s="64"/>
      <c r="K18" s="64"/>
      <c r="L18" s="64"/>
      <c r="M18" s="64"/>
      <c r="N18" s="64"/>
    </row>
    <row r="19">
      <c r="A19" s="64"/>
      <c r="B19" s="64"/>
      <c r="C19" s="64"/>
      <c r="D19" s="64"/>
      <c r="E19" s="64"/>
      <c r="F19" s="64"/>
      <c r="G19" s="64"/>
      <c r="H19" s="64"/>
      <c r="I19" s="64"/>
      <c r="J19" s="64"/>
      <c r="K19" s="64"/>
      <c r="L19" s="64"/>
      <c r="M19" s="64"/>
      <c r="N19" s="64"/>
    </row>
    <row r="20">
      <c r="A20" s="67" t="s">
        <v>72</v>
      </c>
      <c r="B20" s="67" t="s">
        <v>145</v>
      </c>
      <c r="C20" s="67" t="s">
        <v>75</v>
      </c>
      <c r="D20" s="67" t="s">
        <v>76</v>
      </c>
      <c r="E20" s="67" t="s">
        <v>77</v>
      </c>
      <c r="F20" s="67" t="s">
        <v>171</v>
      </c>
      <c r="G20" s="67" t="s">
        <v>172</v>
      </c>
      <c r="H20" s="67" t="s">
        <v>173</v>
      </c>
      <c r="I20" s="64"/>
      <c r="J20" s="64"/>
      <c r="K20" s="64"/>
      <c r="L20" s="64"/>
      <c r="M20" s="64"/>
      <c r="N20" s="64"/>
    </row>
    <row r="21" ht="15.75" customHeight="1">
      <c r="A21" s="34" t="str">
        <f t="shared" ref="A21:A26" si="16">A5</f>
        <v>Fressie Orange 1 liter</v>
      </c>
      <c r="B21" s="70">
        <f t="shared" ref="B21:B26" si="17">C5</f>
        <v>68429</v>
      </c>
      <c r="C21" s="88">
        <f>VLOOKUP($A21,BOM!$A:$H,4,0)</f>
        <v>0.2</v>
      </c>
      <c r="D21" s="88" t="str">
        <f>VLOOKUP($A21,BOM!$A:$H,5,0)</f>
        <v/>
      </c>
      <c r="E21" s="88" t="str">
        <f>VLOOKUP($A21,BOM!$A:$H,6,0)</f>
        <v/>
      </c>
      <c r="F21" s="89">
        <f t="shared" ref="F21:H21" si="15">$B21*C21</f>
        <v>13685.8</v>
      </c>
      <c r="G21" s="89">
        <f t="shared" si="15"/>
        <v>0</v>
      </c>
      <c r="H21" s="89">
        <f t="shared" si="15"/>
        <v>0</v>
      </c>
      <c r="I21" s="64"/>
      <c r="J21" s="64"/>
      <c r="K21" s="64"/>
      <c r="L21" s="64"/>
      <c r="M21" s="64"/>
      <c r="N21" s="64"/>
    </row>
    <row r="22" ht="15.75" customHeight="1">
      <c r="A22" s="34" t="str">
        <f t="shared" si="16"/>
        <v>Fressie Orange/Mango 1 liter</v>
      </c>
      <c r="B22" s="70">
        <f t="shared" si="17"/>
        <v>11385</v>
      </c>
      <c r="C22" s="88">
        <f>VLOOKUP($A22,BOM!$A:$H,4,0)</f>
        <v>0.15</v>
      </c>
      <c r="D22" s="88">
        <f>VLOOKUP($A22,BOM!$A:$H,5,0)</f>
        <v>0.05</v>
      </c>
      <c r="E22" s="88" t="str">
        <f>VLOOKUP($A22,BOM!$A:$H,6,0)</f>
        <v/>
      </c>
      <c r="F22" s="89">
        <f t="shared" ref="F22:H22" si="18">$B22*C22</f>
        <v>1707.75</v>
      </c>
      <c r="G22" s="89">
        <f t="shared" si="18"/>
        <v>569.25</v>
      </c>
      <c r="H22" s="89">
        <f t="shared" si="18"/>
        <v>0</v>
      </c>
      <c r="I22" s="64"/>
      <c r="J22" s="64"/>
      <c r="K22" s="64"/>
      <c r="L22" s="64"/>
      <c r="M22" s="64"/>
      <c r="N22" s="64"/>
    </row>
    <row r="23" ht="15.75" customHeight="1">
      <c r="A23" s="34" t="str">
        <f t="shared" si="16"/>
        <v>Fressie Orange/Mango+C 1L</v>
      </c>
      <c r="B23" s="70">
        <f t="shared" si="17"/>
        <v>42857</v>
      </c>
      <c r="C23" s="88">
        <f>VLOOKUP($A23,BOM!$A:$H,4,0)</f>
        <v>0.14</v>
      </c>
      <c r="D23" s="88">
        <f>VLOOKUP($A23,BOM!$A:$H,5,0)</f>
        <v>0.05</v>
      </c>
      <c r="E23" s="88">
        <f>VLOOKUP($A23,BOM!$A:$H,6,0)</f>
        <v>0.01</v>
      </c>
      <c r="F23" s="89">
        <f t="shared" ref="F23:H23" si="19">$B23*C23</f>
        <v>5999.98</v>
      </c>
      <c r="G23" s="89">
        <f t="shared" si="19"/>
        <v>2142.85</v>
      </c>
      <c r="H23" s="89">
        <f t="shared" si="19"/>
        <v>428.57</v>
      </c>
      <c r="I23" s="64"/>
      <c r="J23" s="64"/>
      <c r="K23" s="64"/>
      <c r="L23" s="64"/>
      <c r="M23" s="64"/>
      <c r="N23" s="64"/>
    </row>
    <row r="24" ht="15.75" customHeight="1">
      <c r="A24" s="34" t="str">
        <f t="shared" si="16"/>
        <v>Fressie Orange PET</v>
      </c>
      <c r="B24" s="70">
        <f t="shared" si="17"/>
        <v>117494</v>
      </c>
      <c r="C24" s="88">
        <f>VLOOKUP($A24,BOM!$A:$H,4,0)</f>
        <v>0.06</v>
      </c>
      <c r="D24" s="88" t="str">
        <f>VLOOKUP($A24,BOM!$A:$H,5,0)</f>
        <v/>
      </c>
      <c r="E24" s="88" t="str">
        <f>VLOOKUP($A24,BOM!$A:$H,6,0)</f>
        <v/>
      </c>
      <c r="F24" s="89">
        <f t="shared" ref="F24:H24" si="20">$B24*C24</f>
        <v>7049.64</v>
      </c>
      <c r="G24" s="89">
        <f t="shared" si="20"/>
        <v>0</v>
      </c>
      <c r="H24" s="89">
        <f t="shared" si="20"/>
        <v>0</v>
      </c>
      <c r="I24" s="64"/>
      <c r="J24" s="64"/>
      <c r="K24" s="64"/>
      <c r="L24" s="64"/>
      <c r="M24" s="64"/>
      <c r="N24" s="64"/>
    </row>
    <row r="25" ht="15.75" customHeight="1">
      <c r="A25" s="34" t="str">
        <f t="shared" si="16"/>
        <v>Fressie Orange/C-power PET</v>
      </c>
      <c r="B25" s="70">
        <f t="shared" si="17"/>
        <v>18454</v>
      </c>
      <c r="C25" s="88">
        <f>VLOOKUP($A25,BOM!$A:$H,4,0)</f>
        <v>0.05</v>
      </c>
      <c r="D25" s="88" t="str">
        <f>VLOOKUP($A25,BOM!$A:$H,5,0)</f>
        <v/>
      </c>
      <c r="E25" s="88">
        <f>VLOOKUP($A25,BOM!$A:$H,6,0)</f>
        <v>0.01</v>
      </c>
      <c r="F25" s="89">
        <f t="shared" ref="F25:H25" si="21">$B25*C25</f>
        <v>922.7</v>
      </c>
      <c r="G25" s="89">
        <f t="shared" si="21"/>
        <v>0</v>
      </c>
      <c r="H25" s="89">
        <f t="shared" si="21"/>
        <v>184.54</v>
      </c>
      <c r="I25" s="64"/>
      <c r="J25" s="64"/>
      <c r="K25" s="64"/>
      <c r="L25" s="64"/>
      <c r="M25" s="64"/>
      <c r="N25" s="64"/>
    </row>
    <row r="26" ht="15.75" customHeight="1">
      <c r="A26" s="34" t="str">
        <f t="shared" si="16"/>
        <v>Fressie Orange/Mango PET</v>
      </c>
      <c r="B26" s="70">
        <f t="shared" si="17"/>
        <v>52057</v>
      </c>
      <c r="C26" s="88">
        <f>VLOOKUP($A26,BOM!$A:$H,4,0)</f>
        <v>0.045</v>
      </c>
      <c r="D26" s="88">
        <f>VLOOKUP($A26,BOM!$A:$H,5,0)</f>
        <v>0.015</v>
      </c>
      <c r="E26" s="88" t="str">
        <f>VLOOKUP($A26,BOM!$A:$H,6,0)</f>
        <v/>
      </c>
      <c r="F26" s="89">
        <f t="shared" ref="F26:H26" si="22">$B26*C26</f>
        <v>2342.565</v>
      </c>
      <c r="G26" s="89">
        <f t="shared" si="22"/>
        <v>780.855</v>
      </c>
      <c r="H26" s="89">
        <f t="shared" si="22"/>
        <v>0</v>
      </c>
      <c r="I26" s="64"/>
      <c r="J26" s="64"/>
      <c r="K26" s="64"/>
      <c r="L26" s="64"/>
      <c r="M26" s="64"/>
      <c r="N26" s="64"/>
    </row>
    <row r="27">
      <c r="A27" s="90"/>
      <c r="B27" s="90"/>
      <c r="C27" s="64"/>
      <c r="D27" s="64"/>
      <c r="E27" s="64"/>
      <c r="F27" s="64"/>
      <c r="G27" s="64"/>
      <c r="H27" s="64"/>
      <c r="I27" s="64"/>
      <c r="J27" s="64"/>
      <c r="K27" s="64"/>
      <c r="L27" s="64"/>
      <c r="M27" s="64"/>
      <c r="N27" s="64"/>
    </row>
    <row r="28">
      <c r="A28" s="76" t="s">
        <v>155</v>
      </c>
      <c r="B28" s="5"/>
      <c r="C28" s="67" t="s">
        <v>174</v>
      </c>
      <c r="D28" s="67" t="s">
        <v>148</v>
      </c>
      <c r="E28" s="67" t="s">
        <v>149</v>
      </c>
      <c r="F28" s="67" t="s">
        <v>157</v>
      </c>
      <c r="G28" s="67" t="s">
        <v>151</v>
      </c>
      <c r="H28" s="67" t="s">
        <v>175</v>
      </c>
      <c r="I28" s="67" t="s">
        <v>176</v>
      </c>
      <c r="J28" s="67" t="s">
        <v>177</v>
      </c>
      <c r="K28" s="67" t="s">
        <v>178</v>
      </c>
      <c r="L28" s="67" t="s">
        <v>179</v>
      </c>
      <c r="M28" s="67" t="s">
        <v>180</v>
      </c>
      <c r="N28" s="78" t="s">
        <v>181</v>
      </c>
    </row>
    <row r="29" ht="15.75" customHeight="1">
      <c r="A29" s="79" t="s">
        <v>114</v>
      </c>
      <c r="B29" s="80" t="s">
        <v>75</v>
      </c>
      <c r="C29" s="74">
        <f>SUM(F21:F26)</f>
        <v>31708.435</v>
      </c>
      <c r="D29" s="91">
        <v>3.0</v>
      </c>
      <c r="E29" s="91">
        <v>1.8</v>
      </c>
      <c r="F29" s="92">
        <f t="shared" ref="F29:F31" si="23">E29</f>
        <v>1.8</v>
      </c>
      <c r="G29" s="92">
        <f t="shared" ref="G29:G31" si="24">26/F29</f>
        <v>14.44444444</v>
      </c>
      <c r="H29" s="74">
        <f t="shared" ref="H29:H31" si="25">C29*D29</f>
        <v>95125.305</v>
      </c>
      <c r="I29" s="74">
        <f t="shared" ref="I29:I31" si="26">C29*26/G29</f>
        <v>57075.183</v>
      </c>
      <c r="J29" s="74">
        <f t="shared" ref="J29:J31" si="27">H29+I29/2</f>
        <v>123662.8965</v>
      </c>
      <c r="K29" s="93" t="s">
        <v>131</v>
      </c>
      <c r="L29" s="94">
        <f>VLOOKUP(K29,BOM!A:B,2,0)</f>
        <v>30000</v>
      </c>
      <c r="M29" s="72">
        <f t="shared" ref="M29:M31" si="28">J29/L29</f>
        <v>4.12209655</v>
      </c>
      <c r="N29" s="72">
        <f t="shared" ref="N29:N31" si="29">(H29+I29)/L29</f>
        <v>5.0733496</v>
      </c>
    </row>
    <row r="30" ht="15.75" customHeight="1">
      <c r="A30" s="50"/>
      <c r="B30" s="80" t="s">
        <v>76</v>
      </c>
      <c r="C30" s="74">
        <f>SUM(G21:G26)</f>
        <v>3492.955</v>
      </c>
      <c r="D30" s="91">
        <v>3.0</v>
      </c>
      <c r="E30" s="91">
        <v>1.0</v>
      </c>
      <c r="F30" s="92">
        <f t="shared" si="23"/>
        <v>1</v>
      </c>
      <c r="G30" s="92">
        <f t="shared" si="24"/>
        <v>26</v>
      </c>
      <c r="H30" s="74">
        <f t="shared" si="25"/>
        <v>10478.865</v>
      </c>
      <c r="I30" s="74">
        <f t="shared" si="26"/>
        <v>3492.955</v>
      </c>
      <c r="J30" s="74">
        <f t="shared" si="27"/>
        <v>12225.3425</v>
      </c>
      <c r="K30" s="93" t="s">
        <v>131</v>
      </c>
      <c r="L30" s="94">
        <f>VLOOKUP(K30,BOM!A:B,2,0)</f>
        <v>30000</v>
      </c>
      <c r="M30" s="72">
        <f t="shared" si="28"/>
        <v>0.4075114167</v>
      </c>
      <c r="N30" s="72">
        <f t="shared" si="29"/>
        <v>0.4657273333</v>
      </c>
    </row>
    <row r="31" ht="15.75" customHeight="1">
      <c r="A31" s="55"/>
      <c r="B31" s="80" t="s">
        <v>77</v>
      </c>
      <c r="C31" s="74">
        <f>SUM(H21:H26)</f>
        <v>613.11</v>
      </c>
      <c r="D31" s="91">
        <v>3.0</v>
      </c>
      <c r="E31" s="91">
        <v>2.0</v>
      </c>
      <c r="F31" s="92">
        <f t="shared" si="23"/>
        <v>2</v>
      </c>
      <c r="G31" s="95">
        <f t="shared" si="24"/>
        <v>13</v>
      </c>
      <c r="H31" s="74">
        <f t="shared" si="25"/>
        <v>1839.33</v>
      </c>
      <c r="I31" s="74">
        <f t="shared" si="26"/>
        <v>1226.22</v>
      </c>
      <c r="J31" s="74">
        <f t="shared" si="27"/>
        <v>2452.44</v>
      </c>
      <c r="K31" s="93" t="s">
        <v>130</v>
      </c>
      <c r="L31" s="94">
        <f>VLOOKUP(K31,BOM!A:B,2,0)</f>
        <v>1000</v>
      </c>
      <c r="M31" s="72">
        <f t="shared" si="28"/>
        <v>2.45244</v>
      </c>
      <c r="N31" s="72">
        <f t="shared" si="29"/>
        <v>3.06555</v>
      </c>
    </row>
    <row r="32">
      <c r="A32" s="64"/>
      <c r="B32" s="65"/>
      <c r="C32" s="64"/>
      <c r="D32" s="64"/>
      <c r="E32" s="64"/>
      <c r="F32" s="64"/>
      <c r="G32" s="64"/>
      <c r="H32" s="64"/>
      <c r="I32" s="82">
        <f>H31+I31</f>
        <v>3065.55</v>
      </c>
      <c r="J32" s="85">
        <f>19*40</f>
        <v>760</v>
      </c>
      <c r="K32" s="64"/>
      <c r="L32" s="64"/>
      <c r="M32" s="64"/>
      <c r="N32" s="64"/>
      <c r="O32" s="64"/>
    </row>
    <row r="33">
      <c r="A33" s="64" t="s">
        <v>182</v>
      </c>
      <c r="B33" s="96">
        <v>4.0</v>
      </c>
      <c r="C33" s="64"/>
      <c r="D33" s="85" t="s">
        <v>183</v>
      </c>
      <c r="E33" s="97">
        <v>900.0</v>
      </c>
      <c r="F33" s="64"/>
      <c r="G33" s="64"/>
      <c r="H33" s="64"/>
      <c r="I33" s="64"/>
      <c r="J33" s="64"/>
      <c r="K33" s="85"/>
      <c r="L33" s="85"/>
      <c r="M33" s="64"/>
      <c r="N33" s="64"/>
      <c r="O33" s="64"/>
    </row>
    <row r="34">
      <c r="A34" s="64"/>
      <c r="B34" s="65" t="s">
        <v>164</v>
      </c>
      <c r="C34" s="65" t="s">
        <v>165</v>
      </c>
      <c r="D34" s="85" t="s">
        <v>166</v>
      </c>
      <c r="E34" s="65" t="s">
        <v>165</v>
      </c>
      <c r="F34" s="64"/>
      <c r="G34" s="64"/>
      <c r="H34" s="64"/>
      <c r="I34" s="64"/>
      <c r="J34" s="64"/>
      <c r="K34" s="85" t="s">
        <v>184</v>
      </c>
      <c r="O34" s="64"/>
    </row>
    <row r="35">
      <c r="A35" s="86" t="s">
        <v>185</v>
      </c>
      <c r="B35" s="98">
        <f>SUMIFS(M29:M31,K29:K31,"Content tank truck (liter)")</f>
        <v>4.529607967</v>
      </c>
      <c r="C35" s="99">
        <f t="shared" ref="C35:C38" si="30">B35*1.2</f>
        <v>5.43552956</v>
      </c>
      <c r="D35" s="98">
        <f>SUMIFS(N29:N31,K29:K31,"Content tank truck (liter)")</f>
        <v>5.539076933</v>
      </c>
      <c r="E35" s="99">
        <f t="shared" ref="E35:E38" si="31">D35*1.2</f>
        <v>6.64689232</v>
      </c>
      <c r="F35" s="64"/>
      <c r="G35" s="64"/>
      <c r="H35" s="64"/>
      <c r="I35" s="64"/>
      <c r="J35" s="64"/>
      <c r="K35" s="64"/>
      <c r="L35" s="64"/>
      <c r="M35" s="64"/>
      <c r="N35" s="64"/>
      <c r="O35" s="64"/>
    </row>
    <row r="36">
      <c r="A36" s="86" t="s">
        <v>186</v>
      </c>
      <c r="B36" s="98">
        <f>SUMIFS(M29:M31,K29:K31,"Content IBC (liter)")</f>
        <v>2.45244</v>
      </c>
      <c r="C36" s="87">
        <f t="shared" si="30"/>
        <v>2.942928</v>
      </c>
      <c r="D36" s="98">
        <f>SUMIFS(N29:N31,K29:K31,"Content IBC (liter)")</f>
        <v>3.06555</v>
      </c>
      <c r="E36" s="87">
        <f t="shared" si="31"/>
        <v>3.67866</v>
      </c>
      <c r="F36" s="64"/>
      <c r="G36" s="64"/>
      <c r="H36" s="64"/>
      <c r="I36" s="64"/>
      <c r="J36" s="64"/>
      <c r="K36" s="64"/>
      <c r="L36" s="64"/>
      <c r="M36" s="64"/>
      <c r="N36" s="64"/>
      <c r="O36" s="64"/>
    </row>
    <row r="37">
      <c r="A37" s="86" t="s">
        <v>187</v>
      </c>
      <c r="B37" s="98">
        <f>SUMIFS(M29:M31,K29:K31,"Content drum (liter)")</f>
        <v>0</v>
      </c>
      <c r="C37" s="87">
        <f t="shared" si="30"/>
        <v>0</v>
      </c>
      <c r="D37" s="98">
        <f>SUMIFS(N29:N31,K29:K31,"Content drum (liter)")</f>
        <v>0</v>
      </c>
      <c r="E37" s="87">
        <f t="shared" si="31"/>
        <v>0</v>
      </c>
      <c r="F37" s="64"/>
      <c r="G37" s="64"/>
      <c r="H37" s="64"/>
      <c r="I37" s="64"/>
      <c r="J37" s="64"/>
      <c r="K37" s="64"/>
      <c r="L37" s="64"/>
      <c r="M37" s="64"/>
      <c r="N37" s="64"/>
      <c r="O37" s="64"/>
    </row>
    <row r="38">
      <c r="A38" s="100" t="s">
        <v>188</v>
      </c>
      <c r="B38" s="101">
        <f>(B41-B33)*30000/1000</f>
        <v>43.0658868</v>
      </c>
      <c r="C38" s="102">
        <f t="shared" si="30"/>
        <v>51.67906416</v>
      </c>
      <c r="D38" s="102">
        <f>(D41-B33)*30000/1000</f>
        <v>79.4067696</v>
      </c>
      <c r="E38" s="102">
        <f t="shared" si="31"/>
        <v>95.28812352</v>
      </c>
      <c r="F38" s="64"/>
      <c r="G38" s="64"/>
      <c r="H38" s="64"/>
      <c r="I38" s="64"/>
      <c r="J38" s="64"/>
      <c r="K38" s="64"/>
      <c r="L38" s="64"/>
      <c r="M38" s="64"/>
      <c r="N38" s="64"/>
      <c r="O38" s="64"/>
    </row>
    <row r="39">
      <c r="A39" s="64"/>
      <c r="B39" s="64"/>
      <c r="C39" s="64"/>
      <c r="D39" s="64"/>
      <c r="E39" s="64"/>
      <c r="F39" s="64"/>
      <c r="G39" s="64"/>
      <c r="H39" s="64"/>
      <c r="I39" s="64"/>
      <c r="J39" s="64"/>
      <c r="K39" s="64"/>
      <c r="L39" s="64"/>
      <c r="M39" s="64"/>
      <c r="N39" s="64"/>
      <c r="O39" s="64"/>
    </row>
    <row r="40">
      <c r="A40" s="86" t="s">
        <v>189</v>
      </c>
      <c r="B40" s="103">
        <f>SUM(C17,C36:C38)</f>
        <v>658.9800984</v>
      </c>
      <c r="C40" s="86" t="s">
        <v>190</v>
      </c>
      <c r="D40" s="103">
        <f>sum(E17,E36:E38)</f>
        <v>956.9169006</v>
      </c>
      <c r="E40" s="64"/>
      <c r="F40" s="64"/>
      <c r="G40" s="64"/>
      <c r="H40" s="64"/>
      <c r="I40" s="64"/>
      <c r="J40" s="64"/>
      <c r="K40" s="64"/>
      <c r="L40" s="64"/>
      <c r="M40" s="64"/>
      <c r="N40" s="64"/>
      <c r="O40" s="64"/>
    </row>
    <row r="41">
      <c r="A41" s="86" t="s">
        <v>191</v>
      </c>
      <c r="B41" s="104">
        <f>C35</f>
        <v>5.43552956</v>
      </c>
      <c r="C41" s="86" t="s">
        <v>192</v>
      </c>
      <c r="D41" s="104">
        <f>E35</f>
        <v>6.64689232</v>
      </c>
      <c r="E41" s="64"/>
      <c r="F41" s="64"/>
      <c r="G41" s="64"/>
      <c r="H41" s="64"/>
      <c r="I41" s="64"/>
      <c r="J41" s="64"/>
      <c r="K41" s="64"/>
      <c r="L41" s="64"/>
      <c r="M41" s="64"/>
      <c r="N41" s="64"/>
      <c r="O41" s="64"/>
    </row>
    <row r="42">
      <c r="A42" s="105" t="s">
        <v>193</v>
      </c>
      <c r="B42" s="106">
        <f>B40/900</f>
        <v>0.7322001094</v>
      </c>
      <c r="C42" s="64"/>
      <c r="D42" s="105" t="s">
        <v>194</v>
      </c>
      <c r="E42" s="106">
        <f>D40/E33</f>
        <v>1.063241001</v>
      </c>
      <c r="F42" s="64"/>
      <c r="G42" s="64"/>
      <c r="H42" s="64"/>
      <c r="I42" s="64"/>
      <c r="J42" s="64"/>
      <c r="K42" s="64"/>
      <c r="L42" s="64"/>
      <c r="M42" s="64"/>
      <c r="N42" s="64"/>
      <c r="O42" s="64"/>
    </row>
    <row r="43">
      <c r="A43" s="105" t="s">
        <v>195</v>
      </c>
      <c r="B43" s="106">
        <f>B41/B33</f>
        <v>1.35888239</v>
      </c>
      <c r="C43" s="107"/>
      <c r="D43" s="105" t="s">
        <v>196</v>
      </c>
      <c r="E43" s="106">
        <f>D41/B33</f>
        <v>1.66172308</v>
      </c>
      <c r="F43" s="64"/>
      <c r="G43" s="64"/>
      <c r="H43" s="64"/>
      <c r="I43" s="64"/>
      <c r="J43" s="64"/>
      <c r="K43" s="64"/>
      <c r="L43" s="64"/>
      <c r="M43" s="64"/>
      <c r="N43" s="64"/>
      <c r="O43" s="64"/>
    </row>
    <row r="44">
      <c r="A44" s="64"/>
      <c r="B44" s="108" t="s">
        <v>197</v>
      </c>
      <c r="C44" s="108" t="s">
        <v>198</v>
      </c>
      <c r="D44" s="108" t="s">
        <v>199</v>
      </c>
      <c r="E44" s="107"/>
      <c r="F44" s="64"/>
      <c r="G44" s="64"/>
      <c r="H44" s="64"/>
      <c r="I44" s="64"/>
      <c r="J44" s="64"/>
      <c r="K44" s="64"/>
      <c r="L44" s="64"/>
      <c r="M44" s="64"/>
      <c r="N44" s="64"/>
      <c r="O44" s="64"/>
    </row>
    <row r="45">
      <c r="A45" s="86" t="s">
        <v>200</v>
      </c>
      <c r="B45" s="109">
        <v>63.0</v>
      </c>
      <c r="C45" s="88">
        <v>40.0</v>
      </c>
      <c r="D45" s="88">
        <f>B45/C45</f>
        <v>1.575</v>
      </c>
      <c r="E45" s="64"/>
      <c r="F45" s="64"/>
      <c r="G45" s="64"/>
      <c r="H45" s="64"/>
      <c r="I45" s="64"/>
      <c r="J45" s="64"/>
      <c r="K45" s="64"/>
      <c r="L45" s="64"/>
      <c r="M45" s="64"/>
      <c r="N45" s="64"/>
      <c r="O45" s="64"/>
    </row>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sheetData>
  <mergeCells count="7">
    <mergeCell ref="A1:O1"/>
    <mergeCell ref="A2:M2"/>
    <mergeCell ref="A12:B12"/>
    <mergeCell ref="A13:A14"/>
    <mergeCell ref="A28:B28"/>
    <mergeCell ref="A29:A31"/>
    <mergeCell ref="K34:N34"/>
  </mergeCells>
  <conditionalFormatting sqref="A5:C10">
    <cfRule type="containsBlanks" dxfId="0" priority="1">
      <formula>LEN(TRIM(A5))=0</formula>
    </cfRule>
  </conditionalFormatting>
  <conditionalFormatting sqref="A1:E4 F1:F28 G1:N45 O1:O11 A11:E45 F32:F45 O32:O45">
    <cfRule type="containsBlanks" dxfId="0" priority="2">
      <formula>LEN(TRIM(A1))=0</formula>
    </cfRule>
  </conditionalFormatting>
  <conditionalFormatting sqref="E5:E10">
    <cfRule type="containsBlanks" dxfId="0" priority="3">
      <formula>LEN(TRIM(E5))=0</formula>
    </cfRule>
  </conditionalFormatting>
  <dataValidations>
    <dataValidation type="list" allowBlank="1" sqref="K29:K31">
      <formula1>"Content tank truck (liter),Content IBC (liter),Content drum (liter)"</formula1>
    </dataValidation>
  </dataValidations>
  <printOptions/>
  <pageMargins bottom="0.75" footer="0.0" header="0.0" left="0.7" right="0.7" top="0.75"/>
  <pageSetup orientation="landscape"/>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75"/>
  <cols>
    <col customWidth="1" min="1" max="1" width="27.88"/>
    <col customWidth="1" min="2" max="2" width="24.5"/>
    <col customWidth="1" min="3" max="3" width="16.5"/>
    <col customWidth="1" min="4" max="4" width="17.13"/>
    <col customWidth="1" min="5" max="5" width="15.63"/>
    <col customWidth="1" min="6" max="6" width="17.5"/>
    <col customWidth="1" min="7" max="7" width="12.63"/>
    <col customWidth="1" min="8" max="8" width="16.0"/>
    <col customWidth="1" min="9" max="9" width="12.38"/>
    <col customWidth="1" min="10" max="10" width="11.0"/>
    <col customWidth="1" min="11" max="34" width="8.5"/>
    <col customWidth="1" min="35" max="35" width="11.5"/>
  </cols>
  <sheetData>
    <row r="1" ht="30.75" customHeight="1">
      <c r="A1" s="62" t="s">
        <v>201</v>
      </c>
      <c r="B1" s="27"/>
      <c r="C1" s="27"/>
      <c r="D1" s="27"/>
      <c r="E1" s="27"/>
      <c r="F1" s="27"/>
      <c r="G1" s="27"/>
      <c r="H1" s="28"/>
      <c r="I1" s="110"/>
      <c r="J1" s="110"/>
      <c r="K1" s="110"/>
      <c r="L1" s="110"/>
      <c r="M1" s="64"/>
      <c r="N1" s="64"/>
      <c r="O1" s="64"/>
      <c r="P1" s="64"/>
      <c r="Q1" s="64"/>
      <c r="R1" s="64"/>
      <c r="S1" s="64"/>
      <c r="T1" s="64"/>
      <c r="U1" s="64"/>
      <c r="V1" s="64"/>
      <c r="W1" s="64"/>
      <c r="X1" s="64"/>
      <c r="Y1" s="64"/>
      <c r="Z1" s="64"/>
      <c r="AA1" s="64"/>
      <c r="AB1" s="64"/>
      <c r="AC1" s="64"/>
      <c r="AD1" s="64"/>
      <c r="AE1" s="64"/>
      <c r="AF1" s="64"/>
      <c r="AG1" s="64"/>
      <c r="AH1" s="64"/>
      <c r="AI1" s="64"/>
    </row>
    <row r="2">
      <c r="A2" s="64"/>
      <c r="B2" s="64"/>
      <c r="C2" s="111" t="s">
        <v>202</v>
      </c>
      <c r="D2" s="111" t="s">
        <v>203</v>
      </c>
      <c r="E2" s="111" t="s">
        <v>204</v>
      </c>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row>
    <row r="3">
      <c r="A3" s="112" t="s">
        <v>205</v>
      </c>
      <c r="B3" s="112" t="s">
        <v>206</v>
      </c>
      <c r="C3" s="113"/>
      <c r="D3" s="111">
        <f>A7/(C7+D7)</f>
        <v>2000</v>
      </c>
      <c r="E3" s="113">
        <f>B7/(C7+D7)</f>
        <v>3000</v>
      </c>
      <c r="F3" s="64"/>
      <c r="G3" s="64"/>
      <c r="H3" s="64"/>
      <c r="I3" s="64"/>
      <c r="J3" s="64"/>
      <c r="K3" s="64"/>
      <c r="L3" s="64"/>
      <c r="M3" s="64"/>
      <c r="N3" s="64"/>
      <c r="O3" s="64"/>
      <c r="P3" s="64"/>
      <c r="Q3" s="64"/>
      <c r="R3" s="64"/>
      <c r="S3" s="64"/>
      <c r="T3" s="64"/>
      <c r="U3" s="64"/>
      <c r="V3" s="64"/>
      <c r="W3" s="64"/>
      <c r="X3" s="64"/>
      <c r="Y3" s="64"/>
      <c r="Z3" s="64"/>
      <c r="AA3" s="64"/>
      <c r="AB3" s="64"/>
      <c r="AC3" s="64"/>
      <c r="AD3" s="64"/>
      <c r="AE3" s="64"/>
      <c r="AF3" s="64"/>
      <c r="AG3" s="64"/>
      <c r="AH3" s="64"/>
      <c r="AI3" s="64"/>
    </row>
    <row r="4">
      <c r="A4" s="114" t="s">
        <v>207</v>
      </c>
      <c r="B4" s="115" t="s">
        <v>92</v>
      </c>
      <c r="C4" s="64"/>
      <c r="D4" s="64"/>
      <c r="E4" s="64"/>
      <c r="F4" s="64"/>
      <c r="G4" s="64"/>
      <c r="H4" s="64"/>
      <c r="I4" s="64"/>
      <c r="J4" s="64"/>
      <c r="K4" s="64"/>
      <c r="L4" s="64"/>
      <c r="M4" s="64"/>
      <c r="N4" s="64"/>
      <c r="O4" s="64"/>
      <c r="P4" s="64"/>
      <c r="Q4" s="64"/>
      <c r="R4" s="64"/>
      <c r="S4" s="64"/>
      <c r="T4" s="64"/>
      <c r="U4" s="64"/>
      <c r="V4" s="64"/>
      <c r="W4" s="64"/>
      <c r="X4" s="64"/>
      <c r="Y4" s="64"/>
      <c r="Z4" s="64"/>
      <c r="AA4" s="64"/>
      <c r="AB4" s="64"/>
      <c r="AC4" s="64"/>
      <c r="AD4" s="64"/>
      <c r="AE4" s="64"/>
      <c r="AF4" s="64"/>
      <c r="AG4" s="64"/>
      <c r="AH4" s="64"/>
      <c r="AI4" s="64"/>
    </row>
    <row r="5">
      <c r="A5" s="64"/>
      <c r="B5" s="64"/>
      <c r="C5" s="64"/>
      <c r="D5" s="64"/>
      <c r="E5" s="64"/>
      <c r="F5" s="64"/>
      <c r="G5" s="66" t="s">
        <v>208</v>
      </c>
      <c r="I5" s="66" t="s">
        <v>209</v>
      </c>
      <c r="K5" s="64"/>
      <c r="L5" s="64"/>
      <c r="M5" s="64"/>
      <c r="N5" s="64"/>
      <c r="O5" s="64"/>
      <c r="P5" s="64"/>
      <c r="Q5" s="64"/>
      <c r="R5" s="64"/>
      <c r="S5" s="64"/>
      <c r="T5" s="64"/>
      <c r="U5" s="64"/>
      <c r="V5" s="64"/>
      <c r="W5" s="64"/>
      <c r="X5" s="64"/>
      <c r="Y5" s="64"/>
      <c r="Z5" s="64"/>
      <c r="AA5" s="64"/>
      <c r="AB5" s="64"/>
      <c r="AC5" s="64"/>
      <c r="AD5" s="64"/>
      <c r="AE5" s="64"/>
      <c r="AF5" s="64"/>
      <c r="AG5" s="64"/>
      <c r="AH5" s="64"/>
      <c r="AI5" s="64"/>
    </row>
    <row r="6">
      <c r="A6" s="116" t="s">
        <v>97</v>
      </c>
      <c r="B6" s="67" t="s">
        <v>100</v>
      </c>
      <c r="C6" s="67" t="s">
        <v>111</v>
      </c>
      <c r="D6" s="67" t="s">
        <v>113</v>
      </c>
      <c r="E6" s="117" t="s">
        <v>119</v>
      </c>
      <c r="F6" s="117" t="s">
        <v>125</v>
      </c>
      <c r="G6" s="118" t="s">
        <v>210</v>
      </c>
      <c r="H6" s="118" t="s">
        <v>211</v>
      </c>
      <c r="I6" s="118" t="s">
        <v>210</v>
      </c>
      <c r="J6" s="118" t="s">
        <v>211</v>
      </c>
      <c r="K6" s="64"/>
      <c r="L6" s="64"/>
      <c r="M6" s="64"/>
      <c r="N6" s="64"/>
      <c r="O6" s="64"/>
      <c r="P6" s="64"/>
      <c r="Q6" s="64"/>
      <c r="R6" s="64"/>
      <c r="S6" s="64"/>
      <c r="T6" s="64"/>
      <c r="U6" s="64"/>
      <c r="V6" s="64"/>
      <c r="W6" s="64"/>
      <c r="X6" s="64"/>
      <c r="Y6" s="64"/>
      <c r="Z6" s="64"/>
      <c r="AA6" s="64"/>
      <c r="AB6" s="64"/>
      <c r="AC6" s="64"/>
      <c r="AD6" s="64"/>
      <c r="AE6" s="64"/>
      <c r="AF6" s="64"/>
      <c r="AG6" s="64"/>
      <c r="AH6" s="64"/>
      <c r="AI6" s="64"/>
    </row>
    <row r="7">
      <c r="A7" s="82">
        <f>IF(B4=BOM!AA3,VLOOKUP(A6,BOM!Z:AC,2,0),IF(B4=BOM!AB3,VLOOKUP(A6,BOM!Z:AC,3,0),VLOOKUP(A6,BOM!Z:AC,4,0)))</f>
        <v>8000</v>
      </c>
      <c r="B7" s="82">
        <f>IF(B4=BOM!AA3,VLOOKUP(B6,BOM!Z:AC,2,0),IF(B4=BOM!AB3,VLOOKUP(B6,BOM!Z:AC,3,0),VLOOKUP(B6,BOM!Z:AC,4,0)))</f>
        <v>12000</v>
      </c>
      <c r="C7" s="82">
        <f>IF(B4=BOM!AA3,VLOOKUP(C6,BOM!Z:AC,2,0),IF(B4=BOM!AB3,VLOOKUP(C6,BOM!Z:AC,3,0),VLOOKUP(C6,BOM!Z:AC,4,0)))</f>
        <v>2</v>
      </c>
      <c r="D7" s="82">
        <f>IF(B4=BOM!AA3,VLOOKUP(D6,BOM!Z:AC,2,0),IF(B4=BOM!AB3,VLOOKUP(D6,BOM!Z:AC,3,0),VLOOKUP(D6,BOM!Z:AC,4,0)))</f>
        <v>2</v>
      </c>
      <c r="E7" s="64">
        <f>IF(B4=BOM!AA3,VLOOKUP(E6,BOM!Z:AC,2,0),IF(B4=BOM!AB3,VLOOKUP(E6,BOM!Z:AC,3,0),VLOOKUP(E6,BOM!Z:AC,4,0)))</f>
        <v>2</v>
      </c>
      <c r="F7" s="64">
        <f>IF(B4=BOM!AA3,VLOOKUP(F6,BOM!Z:AC,2,0),IF(B4=BOM!AB3,VLOOKUP(F6,BOM!Z:AC,3,0),VLOOKUP(F6,BOM!Z:AC,4,0)))</f>
        <v>4</v>
      </c>
      <c r="G7" s="82">
        <f t="shared" ref="G7:H7" si="1">A7*$E$7</f>
        <v>16000</v>
      </c>
      <c r="H7" s="82">
        <f t="shared" si="1"/>
        <v>24000</v>
      </c>
      <c r="I7" s="82">
        <f t="shared" ref="I7:J7" si="2">A7*$F$7</f>
        <v>32000</v>
      </c>
      <c r="J7" s="82">
        <f t="shared" si="2"/>
        <v>48000</v>
      </c>
      <c r="K7" s="64"/>
      <c r="L7" s="64"/>
      <c r="M7" s="64"/>
      <c r="N7" s="64"/>
      <c r="O7" s="64"/>
      <c r="P7" s="64"/>
      <c r="Q7" s="64"/>
      <c r="R7" s="64"/>
      <c r="S7" s="64"/>
      <c r="T7" s="64"/>
      <c r="U7" s="64"/>
      <c r="V7" s="64"/>
      <c r="W7" s="64"/>
      <c r="X7" s="64"/>
      <c r="Y7" s="64"/>
      <c r="Z7" s="64"/>
      <c r="AA7" s="64"/>
      <c r="AB7" s="64"/>
      <c r="AC7" s="64"/>
      <c r="AD7" s="64"/>
      <c r="AE7" s="64"/>
      <c r="AF7" s="64"/>
      <c r="AG7" s="64"/>
      <c r="AH7" s="64"/>
      <c r="AI7" s="64"/>
    </row>
    <row r="8">
      <c r="A8" s="64"/>
      <c r="B8" s="64"/>
      <c r="C8" s="64"/>
      <c r="D8" s="64"/>
      <c r="E8" s="64"/>
      <c r="F8" s="64"/>
      <c r="G8" s="64"/>
      <c r="H8" s="64"/>
      <c r="I8" s="64"/>
      <c r="J8" s="64"/>
      <c r="K8" s="64"/>
      <c r="L8" s="64"/>
      <c r="M8" s="64"/>
      <c r="N8" s="64"/>
      <c r="O8" s="64"/>
      <c r="P8" s="64"/>
      <c r="Q8" s="64"/>
      <c r="R8" s="64"/>
      <c r="S8" s="64"/>
      <c r="T8" s="64"/>
      <c r="U8" s="64"/>
      <c r="V8" s="64"/>
      <c r="W8" s="64"/>
      <c r="X8" s="64"/>
      <c r="Y8" s="64"/>
      <c r="Z8" s="64"/>
      <c r="AA8" s="64"/>
      <c r="AB8" s="64"/>
      <c r="AC8" s="64"/>
      <c r="AD8" s="64"/>
      <c r="AE8" s="64"/>
      <c r="AF8" s="64"/>
      <c r="AG8" s="64"/>
      <c r="AH8" s="64"/>
      <c r="AI8" s="64"/>
    </row>
    <row r="9">
      <c r="A9" s="67" t="s">
        <v>212</v>
      </c>
      <c r="B9" s="67" t="s">
        <v>213</v>
      </c>
      <c r="C9" s="67" t="s">
        <v>214</v>
      </c>
      <c r="D9" s="67" t="s">
        <v>215</v>
      </c>
      <c r="E9" s="118" t="s">
        <v>210</v>
      </c>
      <c r="F9" s="118" t="s">
        <v>211</v>
      </c>
      <c r="G9" s="64"/>
      <c r="H9" s="64"/>
      <c r="I9" s="64"/>
      <c r="J9" s="64"/>
      <c r="K9" s="64"/>
      <c r="L9" s="64"/>
      <c r="M9" s="64"/>
      <c r="N9" s="64"/>
      <c r="O9" s="64"/>
      <c r="P9" s="64"/>
      <c r="Q9" s="64"/>
      <c r="R9" s="64"/>
      <c r="S9" s="64"/>
      <c r="T9" s="64"/>
      <c r="U9" s="64"/>
      <c r="V9" s="64"/>
      <c r="W9" s="64"/>
      <c r="X9" s="64"/>
      <c r="Y9" s="64"/>
      <c r="Z9" s="64"/>
      <c r="AA9" s="64"/>
      <c r="AB9" s="64"/>
      <c r="AC9" s="64"/>
      <c r="AD9" s="64"/>
      <c r="AE9" s="64"/>
      <c r="AF9" s="64"/>
      <c r="AG9" s="64"/>
      <c r="AH9" s="64"/>
      <c r="AI9" s="64"/>
    </row>
    <row r="10">
      <c r="A10" s="119">
        <v>0.191</v>
      </c>
      <c r="B10" s="119">
        <f>1-A10</f>
        <v>0.809</v>
      </c>
      <c r="C10" s="64">
        <f t="shared" ref="C10:D10" si="3">40*A10</f>
        <v>7.64</v>
      </c>
      <c r="D10" s="64">
        <f t="shared" si="3"/>
        <v>32.36</v>
      </c>
      <c r="E10" s="82">
        <f t="shared" ref="E10:F10" si="4">$D$10/$C$7*A7</f>
        <v>129440</v>
      </c>
      <c r="F10" s="82">
        <f t="shared" si="4"/>
        <v>194160</v>
      </c>
      <c r="G10" s="64"/>
      <c r="H10" s="64"/>
      <c r="I10" s="64"/>
      <c r="J10" s="64"/>
      <c r="K10" s="64"/>
      <c r="L10" s="64"/>
      <c r="M10" s="64"/>
      <c r="N10" s="64"/>
      <c r="O10" s="64"/>
      <c r="P10" s="64"/>
      <c r="Q10" s="64"/>
      <c r="R10" s="64"/>
      <c r="S10" s="64"/>
      <c r="T10" s="64"/>
      <c r="U10" s="64"/>
      <c r="V10" s="64"/>
      <c r="W10" s="64"/>
      <c r="X10" s="64"/>
      <c r="Y10" s="64"/>
      <c r="Z10" s="64"/>
      <c r="AA10" s="64"/>
      <c r="AB10" s="64"/>
      <c r="AC10" s="64"/>
      <c r="AD10" s="64"/>
      <c r="AE10" s="64"/>
      <c r="AF10" s="64"/>
      <c r="AG10" s="64"/>
      <c r="AH10" s="64"/>
      <c r="AI10" s="64"/>
    </row>
    <row r="11">
      <c r="A11" s="64"/>
      <c r="B11" s="64"/>
      <c r="C11" s="64"/>
      <c r="D11" s="64"/>
      <c r="E11" s="64"/>
      <c r="F11" s="64"/>
      <c r="G11" s="64"/>
      <c r="H11" s="64"/>
      <c r="I11" s="64"/>
      <c r="J11" s="64"/>
      <c r="K11" s="64"/>
      <c r="L11" s="64"/>
      <c r="M11" s="64"/>
      <c r="N11" s="64"/>
      <c r="O11" s="64"/>
      <c r="P11" s="64"/>
      <c r="Q11" s="64"/>
      <c r="R11" s="64"/>
      <c r="S11" s="64"/>
      <c r="T11" s="64"/>
      <c r="U11" s="64"/>
      <c r="V11" s="64"/>
      <c r="W11" s="64"/>
      <c r="X11" s="64"/>
      <c r="Y11" s="64"/>
      <c r="Z11" s="64"/>
      <c r="AA11" s="64"/>
      <c r="AB11" s="64"/>
      <c r="AC11" s="64"/>
      <c r="AD11" s="64"/>
      <c r="AE11" s="64"/>
      <c r="AF11" s="64"/>
      <c r="AG11" s="64"/>
      <c r="AH11" s="64"/>
      <c r="AI11" s="64"/>
    </row>
    <row r="12" ht="21.0" customHeight="1">
      <c r="A12" s="64"/>
      <c r="B12" s="64"/>
      <c r="C12" s="64"/>
      <c r="D12" s="64"/>
      <c r="E12" s="64"/>
      <c r="F12" s="64"/>
      <c r="G12" s="64"/>
      <c r="H12" s="64"/>
      <c r="I12" s="120" t="s">
        <v>216</v>
      </c>
      <c r="J12" s="27"/>
      <c r="K12" s="27"/>
      <c r="L12" s="27"/>
      <c r="M12" s="27"/>
      <c r="N12" s="27"/>
      <c r="O12" s="27"/>
      <c r="P12" s="27"/>
      <c r="Q12" s="27"/>
      <c r="R12" s="27"/>
      <c r="S12" s="27"/>
      <c r="T12" s="27"/>
      <c r="U12" s="27"/>
      <c r="V12" s="27"/>
      <c r="W12" s="27"/>
      <c r="X12" s="27"/>
      <c r="Y12" s="27"/>
      <c r="Z12" s="27"/>
      <c r="AA12" s="27"/>
      <c r="AB12" s="27"/>
      <c r="AC12" s="27"/>
      <c r="AD12" s="27"/>
      <c r="AE12" s="27"/>
      <c r="AF12" s="27"/>
      <c r="AG12" s="27"/>
      <c r="AH12" s="28"/>
      <c r="AI12" s="121"/>
    </row>
    <row r="13">
      <c r="A13" s="67" t="s">
        <v>72</v>
      </c>
      <c r="B13" s="67" t="s">
        <v>145</v>
      </c>
      <c r="C13" s="67" t="s">
        <v>217</v>
      </c>
      <c r="D13" s="67" t="s">
        <v>218</v>
      </c>
      <c r="E13" s="67" t="s">
        <v>219</v>
      </c>
      <c r="F13" s="67" t="s">
        <v>220</v>
      </c>
      <c r="G13" s="67" t="s">
        <v>83</v>
      </c>
      <c r="H13" s="122" t="s">
        <v>221</v>
      </c>
      <c r="I13" s="123" t="s">
        <v>222</v>
      </c>
      <c r="J13" s="123" t="s">
        <v>223</v>
      </c>
      <c r="K13" s="123" t="s">
        <v>224</v>
      </c>
      <c r="L13" s="123" t="s">
        <v>225</v>
      </c>
      <c r="M13" s="123" t="s">
        <v>226</v>
      </c>
      <c r="N13" s="123" t="s">
        <v>227</v>
      </c>
      <c r="O13" s="123" t="s">
        <v>228</v>
      </c>
      <c r="P13" s="123" t="s">
        <v>229</v>
      </c>
      <c r="Q13" s="123" t="s">
        <v>230</v>
      </c>
      <c r="R13" s="123" t="s">
        <v>231</v>
      </c>
      <c r="S13" s="123" t="s">
        <v>232</v>
      </c>
      <c r="T13" s="123" t="s">
        <v>233</v>
      </c>
      <c r="U13" s="123" t="s">
        <v>234</v>
      </c>
      <c r="V13" s="123" t="s">
        <v>235</v>
      </c>
      <c r="W13" s="123" t="s">
        <v>236</v>
      </c>
      <c r="X13" s="123" t="s">
        <v>237</v>
      </c>
      <c r="Y13" s="123" t="s">
        <v>238</v>
      </c>
      <c r="Z13" s="123" t="s">
        <v>239</v>
      </c>
      <c r="AA13" s="123" t="s">
        <v>240</v>
      </c>
      <c r="AB13" s="123" t="s">
        <v>241</v>
      </c>
      <c r="AC13" s="123" t="s">
        <v>242</v>
      </c>
      <c r="AD13" s="123" t="s">
        <v>243</v>
      </c>
      <c r="AE13" s="123" t="s">
        <v>244</v>
      </c>
      <c r="AF13" s="123" t="s">
        <v>245</v>
      </c>
      <c r="AG13" s="123" t="s">
        <v>246</v>
      </c>
      <c r="AH13" s="123" t="s">
        <v>247</v>
      </c>
      <c r="AI13" s="124" t="s">
        <v>248</v>
      </c>
    </row>
    <row r="14" ht="15.75" customHeight="1">
      <c r="A14" s="125" t="str">
        <f>Inbound!A5</f>
        <v>Fressie Orange 1 liter</v>
      </c>
      <c r="B14" s="126">
        <f>Inbound!C5</f>
        <v>68429</v>
      </c>
      <c r="C14" s="73">
        <v>5.0</v>
      </c>
      <c r="D14" s="88">
        <f t="shared" ref="D14:D19" si="5">26/(C14/5)</f>
        <v>26</v>
      </c>
      <c r="E14" s="74">
        <f t="shared" ref="E14:E19" si="6">B14*26/D14</f>
        <v>68429</v>
      </c>
      <c r="F14" s="127">
        <v>1.0</v>
      </c>
      <c r="G14" s="128">
        <f>BOM!O4</f>
        <v>1</v>
      </c>
      <c r="H14" s="74">
        <f t="shared" ref="H14:H19" si="7">E14*F14*G14</f>
        <v>68429</v>
      </c>
      <c r="I14" s="74">
        <v>68429.0</v>
      </c>
      <c r="J14" s="74">
        <v>68429.0</v>
      </c>
      <c r="K14" s="74">
        <v>68429.0</v>
      </c>
      <c r="L14" s="74">
        <v>68429.0</v>
      </c>
      <c r="M14" s="74">
        <v>68429.0</v>
      </c>
      <c r="N14" s="74">
        <v>68429.0</v>
      </c>
      <c r="O14" s="74">
        <v>68429.0</v>
      </c>
      <c r="P14" s="74">
        <v>68429.0</v>
      </c>
      <c r="Q14" s="74">
        <v>68429.0</v>
      </c>
      <c r="R14" s="74">
        <v>68429.0</v>
      </c>
      <c r="S14" s="74">
        <v>68429.0</v>
      </c>
      <c r="T14" s="74">
        <v>68429.0</v>
      </c>
      <c r="U14" s="74">
        <v>68429.0</v>
      </c>
      <c r="V14" s="74">
        <v>68429.0</v>
      </c>
      <c r="W14" s="74">
        <v>68429.0</v>
      </c>
      <c r="X14" s="74">
        <v>68429.0</v>
      </c>
      <c r="Y14" s="74">
        <v>68429.0</v>
      </c>
      <c r="Z14" s="74">
        <v>68429.0</v>
      </c>
      <c r="AA14" s="74">
        <v>68429.0</v>
      </c>
      <c r="AB14" s="74">
        <v>68429.0</v>
      </c>
      <c r="AC14" s="74">
        <v>68429.0</v>
      </c>
      <c r="AD14" s="74">
        <v>68429.0</v>
      </c>
      <c r="AE14" s="74">
        <v>68429.0</v>
      </c>
      <c r="AF14" s="74">
        <v>68429.0</v>
      </c>
      <c r="AG14" s="74">
        <v>68429.0</v>
      </c>
      <c r="AH14" s="74">
        <v>68429.0</v>
      </c>
      <c r="AI14" s="129">
        <f t="shared" ref="AI14:AI20" si="8">SUM(I14:AH14)</f>
        <v>1779154</v>
      </c>
    </row>
    <row r="15" ht="15.75" customHeight="1">
      <c r="A15" s="125" t="str">
        <f>Inbound!A6</f>
        <v>Fressie Orange/Mango 1 liter</v>
      </c>
      <c r="B15" s="126">
        <f>Inbound!B22</f>
        <v>11385</v>
      </c>
      <c r="C15" s="73">
        <v>5.0</v>
      </c>
      <c r="D15" s="88">
        <f t="shared" si="5"/>
        <v>26</v>
      </c>
      <c r="E15" s="74">
        <f t="shared" si="6"/>
        <v>11385</v>
      </c>
      <c r="F15" s="127">
        <v>1.0</v>
      </c>
      <c r="G15" s="128">
        <f>BOM!O5</f>
        <v>1</v>
      </c>
      <c r="H15" s="74">
        <f t="shared" si="7"/>
        <v>11385</v>
      </c>
      <c r="I15" s="74">
        <v>11385.0</v>
      </c>
      <c r="J15" s="74">
        <v>11385.0</v>
      </c>
      <c r="K15" s="74">
        <v>11385.0</v>
      </c>
      <c r="L15" s="74">
        <v>11385.0</v>
      </c>
      <c r="M15" s="74">
        <v>11385.0</v>
      </c>
      <c r="N15" s="74">
        <v>11385.0</v>
      </c>
      <c r="O15" s="74">
        <v>11385.0</v>
      </c>
      <c r="P15" s="74">
        <v>11385.0</v>
      </c>
      <c r="Q15" s="74">
        <v>11385.0</v>
      </c>
      <c r="R15" s="74">
        <v>11385.0</v>
      </c>
      <c r="S15" s="74">
        <v>11385.0</v>
      </c>
      <c r="T15" s="74">
        <v>11385.0</v>
      </c>
      <c r="U15" s="74">
        <v>11385.0</v>
      </c>
      <c r="V15" s="74">
        <v>11385.0</v>
      </c>
      <c r="W15" s="74">
        <v>11385.0</v>
      </c>
      <c r="X15" s="74">
        <v>11385.0</v>
      </c>
      <c r="Y15" s="74">
        <v>11385.0</v>
      </c>
      <c r="Z15" s="74">
        <v>11385.0</v>
      </c>
      <c r="AA15" s="74">
        <v>11385.0</v>
      </c>
      <c r="AB15" s="74">
        <v>11385.0</v>
      </c>
      <c r="AC15" s="74">
        <v>11385.0</v>
      </c>
      <c r="AD15" s="74">
        <v>11385.0</v>
      </c>
      <c r="AE15" s="74">
        <v>11385.0</v>
      </c>
      <c r="AF15" s="74">
        <v>11385.0</v>
      </c>
      <c r="AG15" s="74">
        <v>11385.0</v>
      </c>
      <c r="AH15" s="74">
        <v>11385.0</v>
      </c>
      <c r="AI15" s="129">
        <f t="shared" si="8"/>
        <v>296010</v>
      </c>
    </row>
    <row r="16" ht="15.75" customHeight="1">
      <c r="A16" s="125" t="str">
        <f>Inbound!A7</f>
        <v>Fressie Orange/Mango+C 1L</v>
      </c>
      <c r="B16" s="126">
        <f>Inbound!B23</f>
        <v>42857</v>
      </c>
      <c r="C16" s="73">
        <v>5.0</v>
      </c>
      <c r="D16" s="88">
        <f t="shared" si="5"/>
        <v>26</v>
      </c>
      <c r="E16" s="74">
        <f t="shared" si="6"/>
        <v>42857</v>
      </c>
      <c r="F16" s="127">
        <v>1.0</v>
      </c>
      <c r="G16" s="128">
        <f>BOM!O6</f>
        <v>1</v>
      </c>
      <c r="H16" s="74">
        <f t="shared" si="7"/>
        <v>42857</v>
      </c>
      <c r="I16" s="74">
        <v>42857.0</v>
      </c>
      <c r="J16" s="74">
        <v>42857.0</v>
      </c>
      <c r="K16" s="74">
        <v>42857.0</v>
      </c>
      <c r="L16" s="74">
        <v>42857.0</v>
      </c>
      <c r="M16" s="74">
        <v>42857.0</v>
      </c>
      <c r="N16" s="74">
        <v>42857.0</v>
      </c>
      <c r="O16" s="74">
        <v>42857.0</v>
      </c>
      <c r="P16" s="74">
        <v>42857.0</v>
      </c>
      <c r="Q16" s="74">
        <v>42857.0</v>
      </c>
      <c r="R16" s="74">
        <v>42857.0</v>
      </c>
      <c r="S16" s="74">
        <v>42857.0</v>
      </c>
      <c r="T16" s="74">
        <v>42857.0</v>
      </c>
      <c r="U16" s="74">
        <v>42857.0</v>
      </c>
      <c r="V16" s="74">
        <v>42857.0</v>
      </c>
      <c r="W16" s="74">
        <v>42857.0</v>
      </c>
      <c r="X16" s="74">
        <v>42857.0</v>
      </c>
      <c r="Y16" s="74">
        <v>42857.0</v>
      </c>
      <c r="Z16" s="74">
        <v>42857.0</v>
      </c>
      <c r="AA16" s="74">
        <v>42857.0</v>
      </c>
      <c r="AB16" s="74">
        <v>42857.0</v>
      </c>
      <c r="AC16" s="74">
        <v>42857.0</v>
      </c>
      <c r="AD16" s="74">
        <v>42857.0</v>
      </c>
      <c r="AE16" s="74">
        <v>42857.0</v>
      </c>
      <c r="AF16" s="74">
        <v>42857.0</v>
      </c>
      <c r="AG16" s="74">
        <v>42857.0</v>
      </c>
      <c r="AH16" s="74">
        <v>42857.0</v>
      </c>
      <c r="AI16" s="129">
        <f t="shared" si="8"/>
        <v>1114282</v>
      </c>
    </row>
    <row r="17" ht="15.75" customHeight="1">
      <c r="A17" s="125" t="str">
        <f>Inbound!A8</f>
        <v>Fressie Orange PET</v>
      </c>
      <c r="B17" s="126">
        <f>Inbound!B24</f>
        <v>117494</v>
      </c>
      <c r="C17" s="73">
        <v>5.0</v>
      </c>
      <c r="D17" s="88">
        <f t="shared" si="5"/>
        <v>26</v>
      </c>
      <c r="E17" s="74">
        <f t="shared" si="6"/>
        <v>117494</v>
      </c>
      <c r="F17" s="127">
        <v>1.0</v>
      </c>
      <c r="G17" s="128">
        <f>BOM!O7</f>
        <v>0.3</v>
      </c>
      <c r="H17" s="74">
        <f t="shared" si="7"/>
        <v>35248.2</v>
      </c>
      <c r="I17" s="74">
        <v>35248.2</v>
      </c>
      <c r="J17" s="74">
        <v>35248.2</v>
      </c>
      <c r="K17" s="74">
        <v>35248.2</v>
      </c>
      <c r="L17" s="74">
        <v>35248.2</v>
      </c>
      <c r="M17" s="74">
        <v>35248.2</v>
      </c>
      <c r="N17" s="74">
        <v>35248.2</v>
      </c>
      <c r="O17" s="74">
        <v>35248.2</v>
      </c>
      <c r="P17" s="74">
        <v>35248.2</v>
      </c>
      <c r="Q17" s="74">
        <v>35248.2</v>
      </c>
      <c r="R17" s="74">
        <v>35248.2</v>
      </c>
      <c r="S17" s="74">
        <v>35248.2</v>
      </c>
      <c r="T17" s="74">
        <v>35248.2</v>
      </c>
      <c r="U17" s="74">
        <v>35248.2</v>
      </c>
      <c r="V17" s="74">
        <v>35248.2</v>
      </c>
      <c r="W17" s="74">
        <v>35248.2</v>
      </c>
      <c r="X17" s="74">
        <v>35248.2</v>
      </c>
      <c r="Y17" s="74">
        <v>35248.2</v>
      </c>
      <c r="Z17" s="74">
        <v>35248.2</v>
      </c>
      <c r="AA17" s="74">
        <v>35248.2</v>
      </c>
      <c r="AB17" s="74">
        <v>35248.2</v>
      </c>
      <c r="AC17" s="74">
        <v>35248.2</v>
      </c>
      <c r="AD17" s="74">
        <v>35248.2</v>
      </c>
      <c r="AE17" s="74">
        <v>35248.2</v>
      </c>
      <c r="AF17" s="74">
        <v>35248.2</v>
      </c>
      <c r="AG17" s="74">
        <v>35248.2</v>
      </c>
      <c r="AH17" s="74">
        <v>35248.2</v>
      </c>
      <c r="AI17" s="129">
        <f t="shared" si="8"/>
        <v>916453.2</v>
      </c>
    </row>
    <row r="18" ht="15.75" customHeight="1">
      <c r="A18" s="125" t="str">
        <f>Inbound!A9</f>
        <v>Fressie Orange/C-power PET</v>
      </c>
      <c r="B18" s="126">
        <f>Inbound!B25</f>
        <v>18454</v>
      </c>
      <c r="C18" s="73">
        <v>5.0</v>
      </c>
      <c r="D18" s="88">
        <f t="shared" si="5"/>
        <v>26</v>
      </c>
      <c r="E18" s="74">
        <f t="shared" si="6"/>
        <v>18454</v>
      </c>
      <c r="F18" s="127">
        <v>1.0</v>
      </c>
      <c r="G18" s="128">
        <f>BOM!O8</f>
        <v>0.3</v>
      </c>
      <c r="H18" s="74">
        <f t="shared" si="7"/>
        <v>5536.2</v>
      </c>
      <c r="I18" s="74">
        <v>5536.2</v>
      </c>
      <c r="J18" s="74">
        <v>5536.2</v>
      </c>
      <c r="K18" s="74">
        <v>5536.2</v>
      </c>
      <c r="L18" s="74">
        <v>5536.2</v>
      </c>
      <c r="M18" s="74">
        <v>5536.2</v>
      </c>
      <c r="N18" s="74">
        <v>5536.2</v>
      </c>
      <c r="O18" s="74">
        <v>5536.2</v>
      </c>
      <c r="P18" s="74">
        <v>5536.2</v>
      </c>
      <c r="Q18" s="74">
        <v>5536.2</v>
      </c>
      <c r="R18" s="74">
        <v>5536.2</v>
      </c>
      <c r="S18" s="74">
        <v>5536.2</v>
      </c>
      <c r="T18" s="74">
        <v>5536.2</v>
      </c>
      <c r="U18" s="74">
        <v>5536.2</v>
      </c>
      <c r="V18" s="74">
        <v>5536.2</v>
      </c>
      <c r="W18" s="74">
        <v>5536.2</v>
      </c>
      <c r="X18" s="74">
        <v>5536.2</v>
      </c>
      <c r="Y18" s="74">
        <v>5536.2</v>
      </c>
      <c r="Z18" s="74">
        <v>5536.2</v>
      </c>
      <c r="AA18" s="74">
        <v>5536.2</v>
      </c>
      <c r="AB18" s="74">
        <v>5536.2</v>
      </c>
      <c r="AC18" s="74">
        <v>5536.2</v>
      </c>
      <c r="AD18" s="74">
        <v>5536.2</v>
      </c>
      <c r="AE18" s="74">
        <v>5536.2</v>
      </c>
      <c r="AF18" s="74">
        <v>5536.2</v>
      </c>
      <c r="AG18" s="74">
        <v>5536.2</v>
      </c>
      <c r="AH18" s="74">
        <v>5536.2</v>
      </c>
      <c r="AI18" s="129">
        <f t="shared" si="8"/>
        <v>143941.2</v>
      </c>
    </row>
    <row r="19" ht="15.75" customHeight="1">
      <c r="A19" s="125" t="str">
        <f>Inbound!A10</f>
        <v>Fressie Orange/Mango PET</v>
      </c>
      <c r="B19" s="126">
        <f>Inbound!B26</f>
        <v>52057</v>
      </c>
      <c r="C19" s="73">
        <v>5.0</v>
      </c>
      <c r="D19" s="88">
        <f t="shared" si="5"/>
        <v>26</v>
      </c>
      <c r="E19" s="74">
        <f t="shared" si="6"/>
        <v>52057</v>
      </c>
      <c r="F19" s="127">
        <v>1.0</v>
      </c>
      <c r="G19" s="128">
        <f>BOM!O9</f>
        <v>0.3</v>
      </c>
      <c r="H19" s="74">
        <f t="shared" si="7"/>
        <v>15617.1</v>
      </c>
      <c r="I19" s="74">
        <v>15617.099999999999</v>
      </c>
      <c r="J19" s="74">
        <v>15617.099999999999</v>
      </c>
      <c r="K19" s="74">
        <v>15617.099999999999</v>
      </c>
      <c r="L19" s="74">
        <v>15617.099999999999</v>
      </c>
      <c r="M19" s="74">
        <v>15617.099999999999</v>
      </c>
      <c r="N19" s="74">
        <v>15617.099999999999</v>
      </c>
      <c r="O19" s="74">
        <v>15617.099999999999</v>
      </c>
      <c r="P19" s="74">
        <v>15617.099999999999</v>
      </c>
      <c r="Q19" s="74">
        <v>15617.099999999999</v>
      </c>
      <c r="R19" s="74">
        <v>15617.099999999999</v>
      </c>
      <c r="S19" s="74">
        <v>15617.099999999999</v>
      </c>
      <c r="T19" s="74">
        <v>15617.099999999999</v>
      </c>
      <c r="U19" s="74">
        <v>15617.099999999999</v>
      </c>
      <c r="V19" s="74">
        <v>15617.099999999999</v>
      </c>
      <c r="W19" s="74">
        <v>15617.099999999999</v>
      </c>
      <c r="X19" s="74">
        <v>15617.099999999999</v>
      </c>
      <c r="Y19" s="74">
        <v>15617.099999999999</v>
      </c>
      <c r="Z19" s="74">
        <v>15617.099999999999</v>
      </c>
      <c r="AA19" s="74">
        <v>15617.099999999999</v>
      </c>
      <c r="AB19" s="74">
        <v>15617.099999999999</v>
      </c>
      <c r="AC19" s="74">
        <v>15617.099999999999</v>
      </c>
      <c r="AD19" s="74">
        <v>15617.099999999999</v>
      </c>
      <c r="AE19" s="74">
        <v>15617.099999999999</v>
      </c>
      <c r="AF19" s="74">
        <v>15617.099999999999</v>
      </c>
      <c r="AG19" s="74">
        <v>15617.099999999999</v>
      </c>
      <c r="AH19" s="74">
        <v>15617.099999999999</v>
      </c>
      <c r="AI19" s="129">
        <f t="shared" si="8"/>
        <v>406044.6</v>
      </c>
    </row>
    <row r="20">
      <c r="A20" s="64"/>
      <c r="B20" s="64"/>
      <c r="C20" s="64"/>
      <c r="D20" s="64"/>
      <c r="E20" s="64"/>
      <c r="F20" s="64"/>
      <c r="G20" s="64"/>
      <c r="H20" s="130" t="str">
        <f>Bottling!G22</f>
        <v>Start-up loss</v>
      </c>
      <c r="I20" s="131">
        <f>Bottling!H22</f>
        <v>1200</v>
      </c>
      <c r="J20" s="131">
        <f>Bottling!I22</f>
        <v>1200</v>
      </c>
      <c r="K20" s="131">
        <f>Bottling!J22</f>
        <v>1200</v>
      </c>
      <c r="L20" s="131">
        <f>Bottling!K22</f>
        <v>1200</v>
      </c>
      <c r="M20" s="131">
        <f>Bottling!L22</f>
        <v>1200</v>
      </c>
      <c r="N20" s="131">
        <f>Bottling!M22</f>
        <v>1200</v>
      </c>
      <c r="O20" s="131">
        <f>Bottling!N22</f>
        <v>1200</v>
      </c>
      <c r="P20" s="131">
        <f>Bottling!O22</f>
        <v>1200</v>
      </c>
      <c r="Q20" s="131">
        <f>Bottling!P22</f>
        <v>1200</v>
      </c>
      <c r="R20" s="131">
        <f>Bottling!Q22</f>
        <v>1200</v>
      </c>
      <c r="S20" s="131">
        <f>Bottling!R22</f>
        <v>1200</v>
      </c>
      <c r="T20" s="131">
        <f>Bottling!S22</f>
        <v>1200</v>
      </c>
      <c r="U20" s="131">
        <f>Bottling!T22</f>
        <v>1200</v>
      </c>
      <c r="V20" s="131">
        <f>Bottling!U22</f>
        <v>1200</v>
      </c>
      <c r="W20" s="131">
        <f>Bottling!V22</f>
        <v>1200</v>
      </c>
      <c r="X20" s="131">
        <f>Bottling!W22</f>
        <v>1200</v>
      </c>
      <c r="Y20" s="131">
        <f>Bottling!X22</f>
        <v>1200</v>
      </c>
      <c r="Z20" s="131">
        <f>Bottling!Y22</f>
        <v>1200</v>
      </c>
      <c r="AA20" s="131">
        <f>Bottling!Z22</f>
        <v>1200</v>
      </c>
      <c r="AB20" s="131">
        <f>Bottling!AA22</f>
        <v>1200</v>
      </c>
      <c r="AC20" s="131">
        <f>Bottling!AB22</f>
        <v>1200</v>
      </c>
      <c r="AD20" s="131">
        <f>Bottling!AC22</f>
        <v>1200</v>
      </c>
      <c r="AE20" s="131">
        <f>Bottling!AD22</f>
        <v>1200</v>
      </c>
      <c r="AF20" s="131">
        <f>Bottling!AE22</f>
        <v>1200</v>
      </c>
      <c r="AG20" s="131">
        <f>Bottling!AF22</f>
        <v>1200</v>
      </c>
      <c r="AH20" s="131">
        <f>Bottling!AG22</f>
        <v>1200</v>
      </c>
      <c r="AI20" s="132">
        <f t="shared" si="8"/>
        <v>31200</v>
      </c>
    </row>
    <row r="21">
      <c r="A21" s="64"/>
      <c r="B21" s="64"/>
      <c r="C21" s="64"/>
      <c r="D21" s="64"/>
      <c r="E21" s="64"/>
      <c r="F21" s="64"/>
      <c r="G21" s="64"/>
      <c r="H21" s="133"/>
      <c r="I21" s="64"/>
      <c r="J21" s="64"/>
      <c r="K21" s="64"/>
      <c r="L21" s="64"/>
      <c r="M21" s="64"/>
      <c r="N21" s="64"/>
      <c r="O21" s="64"/>
      <c r="P21" s="64"/>
      <c r="Q21" s="64"/>
      <c r="R21" s="64"/>
      <c r="S21" s="64"/>
      <c r="T21" s="64"/>
      <c r="U21" s="64"/>
      <c r="V21" s="64"/>
      <c r="W21" s="64"/>
      <c r="X21" s="64"/>
      <c r="Y21" s="64"/>
      <c r="Z21" s="64"/>
      <c r="AA21" s="64"/>
      <c r="AB21" s="64"/>
      <c r="AC21" s="64"/>
      <c r="AD21" s="64"/>
      <c r="AE21" s="64"/>
      <c r="AF21" s="64"/>
      <c r="AG21" s="64"/>
      <c r="AH21" s="64"/>
      <c r="AI21" s="134"/>
    </row>
    <row r="22">
      <c r="A22" s="64"/>
      <c r="B22" s="64"/>
      <c r="C22" s="64"/>
      <c r="D22" s="64"/>
      <c r="E22" s="64"/>
      <c r="F22" s="64"/>
      <c r="G22" s="64"/>
      <c r="H22" s="135" t="s">
        <v>249</v>
      </c>
      <c r="I22" s="136">
        <f t="shared" ref="I22:AH22" si="9">SUM(I14:I20)</f>
        <v>180272.5</v>
      </c>
      <c r="J22" s="136">
        <f t="shared" si="9"/>
        <v>180272.5</v>
      </c>
      <c r="K22" s="136">
        <f t="shared" si="9"/>
        <v>180272.5</v>
      </c>
      <c r="L22" s="136">
        <f t="shared" si="9"/>
        <v>180272.5</v>
      </c>
      <c r="M22" s="136">
        <f t="shared" si="9"/>
        <v>180272.5</v>
      </c>
      <c r="N22" s="136">
        <f t="shared" si="9"/>
        <v>180272.5</v>
      </c>
      <c r="O22" s="136">
        <f t="shared" si="9"/>
        <v>180272.5</v>
      </c>
      <c r="P22" s="136">
        <f t="shared" si="9"/>
        <v>180272.5</v>
      </c>
      <c r="Q22" s="136">
        <f t="shared" si="9"/>
        <v>180272.5</v>
      </c>
      <c r="R22" s="136">
        <f t="shared" si="9"/>
        <v>180272.5</v>
      </c>
      <c r="S22" s="136">
        <f t="shared" si="9"/>
        <v>180272.5</v>
      </c>
      <c r="T22" s="136">
        <f t="shared" si="9"/>
        <v>180272.5</v>
      </c>
      <c r="U22" s="136">
        <f t="shared" si="9"/>
        <v>180272.5</v>
      </c>
      <c r="V22" s="136">
        <f t="shared" si="9"/>
        <v>180272.5</v>
      </c>
      <c r="W22" s="136">
        <f t="shared" si="9"/>
        <v>180272.5</v>
      </c>
      <c r="X22" s="136">
        <f t="shared" si="9"/>
        <v>180272.5</v>
      </c>
      <c r="Y22" s="136">
        <f t="shared" si="9"/>
        <v>180272.5</v>
      </c>
      <c r="Z22" s="136">
        <f t="shared" si="9"/>
        <v>180272.5</v>
      </c>
      <c r="AA22" s="136">
        <f t="shared" si="9"/>
        <v>180272.5</v>
      </c>
      <c r="AB22" s="136">
        <f t="shared" si="9"/>
        <v>180272.5</v>
      </c>
      <c r="AC22" s="136">
        <f t="shared" si="9"/>
        <v>180272.5</v>
      </c>
      <c r="AD22" s="136">
        <f t="shared" si="9"/>
        <v>180272.5</v>
      </c>
      <c r="AE22" s="136">
        <f t="shared" si="9"/>
        <v>180272.5</v>
      </c>
      <c r="AF22" s="136">
        <f t="shared" si="9"/>
        <v>180272.5</v>
      </c>
      <c r="AG22" s="136">
        <f t="shared" si="9"/>
        <v>180272.5</v>
      </c>
      <c r="AH22" s="136">
        <f t="shared" si="9"/>
        <v>180272.5</v>
      </c>
      <c r="AI22" s="137">
        <f t="shared" ref="AI22:AI25" si="11">SUM(I22:AH22)</f>
        <v>4687085</v>
      </c>
    </row>
    <row r="23">
      <c r="A23" s="64"/>
      <c r="B23" s="64"/>
      <c r="C23" s="64"/>
      <c r="D23" s="64"/>
      <c r="E23" s="64"/>
      <c r="F23" s="64"/>
      <c r="G23" s="64"/>
      <c r="H23" s="138" t="s">
        <v>250</v>
      </c>
      <c r="I23" s="82">
        <f>E10</f>
        <v>129440</v>
      </c>
      <c r="J23" s="82">
        <f t="shared" ref="J23:AH23" si="10">I23</f>
        <v>129440</v>
      </c>
      <c r="K23" s="82">
        <f t="shared" si="10"/>
        <v>129440</v>
      </c>
      <c r="L23" s="82">
        <f t="shared" si="10"/>
        <v>129440</v>
      </c>
      <c r="M23" s="82">
        <f t="shared" si="10"/>
        <v>129440</v>
      </c>
      <c r="N23" s="82">
        <f t="shared" si="10"/>
        <v>129440</v>
      </c>
      <c r="O23" s="82">
        <f t="shared" si="10"/>
        <v>129440</v>
      </c>
      <c r="P23" s="82">
        <f t="shared" si="10"/>
        <v>129440</v>
      </c>
      <c r="Q23" s="82">
        <f t="shared" si="10"/>
        <v>129440</v>
      </c>
      <c r="R23" s="82">
        <f t="shared" si="10"/>
        <v>129440</v>
      </c>
      <c r="S23" s="82">
        <f t="shared" si="10"/>
        <v>129440</v>
      </c>
      <c r="T23" s="82">
        <f t="shared" si="10"/>
        <v>129440</v>
      </c>
      <c r="U23" s="82">
        <f t="shared" si="10"/>
        <v>129440</v>
      </c>
      <c r="V23" s="82">
        <f t="shared" si="10"/>
        <v>129440</v>
      </c>
      <c r="W23" s="82">
        <f t="shared" si="10"/>
        <v>129440</v>
      </c>
      <c r="X23" s="82">
        <f t="shared" si="10"/>
        <v>129440</v>
      </c>
      <c r="Y23" s="82">
        <f t="shared" si="10"/>
        <v>129440</v>
      </c>
      <c r="Z23" s="82">
        <f t="shared" si="10"/>
        <v>129440</v>
      </c>
      <c r="AA23" s="82">
        <f t="shared" si="10"/>
        <v>129440</v>
      </c>
      <c r="AB23" s="82">
        <f t="shared" si="10"/>
        <v>129440</v>
      </c>
      <c r="AC23" s="82">
        <f t="shared" si="10"/>
        <v>129440</v>
      </c>
      <c r="AD23" s="82">
        <f t="shared" si="10"/>
        <v>129440</v>
      </c>
      <c r="AE23" s="82">
        <f t="shared" si="10"/>
        <v>129440</v>
      </c>
      <c r="AF23" s="82">
        <f t="shared" si="10"/>
        <v>129440</v>
      </c>
      <c r="AG23" s="82">
        <f t="shared" si="10"/>
        <v>129440</v>
      </c>
      <c r="AH23" s="82">
        <f t="shared" si="10"/>
        <v>129440</v>
      </c>
      <c r="AI23" s="139">
        <f t="shared" si="11"/>
        <v>3365440</v>
      </c>
    </row>
    <row r="24">
      <c r="A24" s="64"/>
      <c r="B24" s="64"/>
      <c r="C24" s="64"/>
      <c r="D24" s="64"/>
      <c r="E24" s="64"/>
      <c r="F24" s="64"/>
      <c r="G24" s="64"/>
      <c r="H24" s="138" t="s">
        <v>251</v>
      </c>
      <c r="I24" s="82">
        <f>F10</f>
        <v>194160</v>
      </c>
      <c r="J24" s="82">
        <f t="shared" ref="J24:AH24" si="12">I24</f>
        <v>194160</v>
      </c>
      <c r="K24" s="82">
        <f t="shared" si="12"/>
        <v>194160</v>
      </c>
      <c r="L24" s="82">
        <f t="shared" si="12"/>
        <v>194160</v>
      </c>
      <c r="M24" s="82">
        <f t="shared" si="12"/>
        <v>194160</v>
      </c>
      <c r="N24" s="82">
        <f t="shared" si="12"/>
        <v>194160</v>
      </c>
      <c r="O24" s="82">
        <f t="shared" si="12"/>
        <v>194160</v>
      </c>
      <c r="P24" s="82">
        <f t="shared" si="12"/>
        <v>194160</v>
      </c>
      <c r="Q24" s="82">
        <f t="shared" si="12"/>
        <v>194160</v>
      </c>
      <c r="R24" s="82">
        <f t="shared" si="12"/>
        <v>194160</v>
      </c>
      <c r="S24" s="82">
        <f t="shared" si="12"/>
        <v>194160</v>
      </c>
      <c r="T24" s="82">
        <f t="shared" si="12"/>
        <v>194160</v>
      </c>
      <c r="U24" s="82">
        <f t="shared" si="12"/>
        <v>194160</v>
      </c>
      <c r="V24" s="82">
        <f t="shared" si="12"/>
        <v>194160</v>
      </c>
      <c r="W24" s="82">
        <f t="shared" si="12"/>
        <v>194160</v>
      </c>
      <c r="X24" s="82">
        <f t="shared" si="12"/>
        <v>194160</v>
      </c>
      <c r="Y24" s="82">
        <f t="shared" si="12"/>
        <v>194160</v>
      </c>
      <c r="Z24" s="82">
        <f t="shared" si="12"/>
        <v>194160</v>
      </c>
      <c r="AA24" s="82">
        <f t="shared" si="12"/>
        <v>194160</v>
      </c>
      <c r="AB24" s="82">
        <f t="shared" si="12"/>
        <v>194160</v>
      </c>
      <c r="AC24" s="82">
        <f t="shared" si="12"/>
        <v>194160</v>
      </c>
      <c r="AD24" s="82">
        <f t="shared" si="12"/>
        <v>194160</v>
      </c>
      <c r="AE24" s="82">
        <f t="shared" si="12"/>
        <v>194160</v>
      </c>
      <c r="AF24" s="82">
        <f t="shared" si="12"/>
        <v>194160</v>
      </c>
      <c r="AG24" s="82">
        <f t="shared" si="12"/>
        <v>194160</v>
      </c>
      <c r="AH24" s="82">
        <f t="shared" si="12"/>
        <v>194160</v>
      </c>
      <c r="AI24" s="139">
        <f t="shared" si="11"/>
        <v>5048160</v>
      </c>
    </row>
    <row r="25">
      <c r="A25" s="64"/>
      <c r="B25" s="64"/>
      <c r="C25" s="64"/>
      <c r="D25" s="64"/>
      <c r="E25" s="64"/>
      <c r="F25" s="64"/>
      <c r="G25" s="64"/>
      <c r="H25" s="140" t="s">
        <v>252</v>
      </c>
      <c r="I25" s="141">
        <f t="shared" ref="I25:AH25" si="13">I24-I22</f>
        <v>13887.5</v>
      </c>
      <c r="J25" s="141">
        <f t="shared" si="13"/>
        <v>13887.5</v>
      </c>
      <c r="K25" s="141">
        <f t="shared" si="13"/>
        <v>13887.5</v>
      </c>
      <c r="L25" s="141">
        <f t="shared" si="13"/>
        <v>13887.5</v>
      </c>
      <c r="M25" s="141">
        <f t="shared" si="13"/>
        <v>13887.5</v>
      </c>
      <c r="N25" s="141">
        <f t="shared" si="13"/>
        <v>13887.5</v>
      </c>
      <c r="O25" s="141">
        <f t="shared" si="13"/>
        <v>13887.5</v>
      </c>
      <c r="P25" s="141">
        <f t="shared" si="13"/>
        <v>13887.5</v>
      </c>
      <c r="Q25" s="141">
        <f t="shared" si="13"/>
        <v>13887.5</v>
      </c>
      <c r="R25" s="141">
        <f t="shared" si="13"/>
        <v>13887.5</v>
      </c>
      <c r="S25" s="141">
        <f t="shared" si="13"/>
        <v>13887.5</v>
      </c>
      <c r="T25" s="141">
        <f t="shared" si="13"/>
        <v>13887.5</v>
      </c>
      <c r="U25" s="141">
        <f t="shared" si="13"/>
        <v>13887.5</v>
      </c>
      <c r="V25" s="141">
        <f t="shared" si="13"/>
        <v>13887.5</v>
      </c>
      <c r="W25" s="141">
        <f t="shared" si="13"/>
        <v>13887.5</v>
      </c>
      <c r="X25" s="141">
        <f t="shared" si="13"/>
        <v>13887.5</v>
      </c>
      <c r="Y25" s="141">
        <f t="shared" si="13"/>
        <v>13887.5</v>
      </c>
      <c r="Z25" s="141">
        <f t="shared" si="13"/>
        <v>13887.5</v>
      </c>
      <c r="AA25" s="141">
        <f t="shared" si="13"/>
        <v>13887.5</v>
      </c>
      <c r="AB25" s="141">
        <f t="shared" si="13"/>
        <v>13887.5</v>
      </c>
      <c r="AC25" s="141">
        <f t="shared" si="13"/>
        <v>13887.5</v>
      </c>
      <c r="AD25" s="141">
        <f t="shared" si="13"/>
        <v>13887.5</v>
      </c>
      <c r="AE25" s="141">
        <f t="shared" si="13"/>
        <v>13887.5</v>
      </c>
      <c r="AF25" s="141">
        <f t="shared" si="13"/>
        <v>13887.5</v>
      </c>
      <c r="AG25" s="141">
        <f t="shared" si="13"/>
        <v>13887.5</v>
      </c>
      <c r="AH25" s="141">
        <f t="shared" si="13"/>
        <v>13887.5</v>
      </c>
      <c r="AI25" s="142">
        <f t="shared" si="11"/>
        <v>361075</v>
      </c>
    </row>
    <row r="26">
      <c r="A26" s="64"/>
      <c r="B26" s="64"/>
      <c r="C26" s="64"/>
      <c r="D26" s="64"/>
      <c r="E26" s="64"/>
      <c r="F26" s="64"/>
      <c r="G26" s="64"/>
      <c r="H26" s="143" t="s">
        <v>253</v>
      </c>
      <c r="I26" s="144">
        <f t="shared" ref="I26:AI26" si="14">I22/I24</f>
        <v>0.928473939</v>
      </c>
      <c r="J26" s="144">
        <f t="shared" si="14"/>
        <v>0.928473939</v>
      </c>
      <c r="K26" s="144">
        <f t="shared" si="14"/>
        <v>0.928473939</v>
      </c>
      <c r="L26" s="144">
        <f t="shared" si="14"/>
        <v>0.928473939</v>
      </c>
      <c r="M26" s="144">
        <f t="shared" si="14"/>
        <v>0.928473939</v>
      </c>
      <c r="N26" s="144">
        <f t="shared" si="14"/>
        <v>0.928473939</v>
      </c>
      <c r="O26" s="144">
        <f t="shared" si="14"/>
        <v>0.928473939</v>
      </c>
      <c r="P26" s="144">
        <f t="shared" si="14"/>
        <v>0.928473939</v>
      </c>
      <c r="Q26" s="144">
        <f t="shared" si="14"/>
        <v>0.928473939</v>
      </c>
      <c r="R26" s="144">
        <f t="shared" si="14"/>
        <v>0.928473939</v>
      </c>
      <c r="S26" s="144">
        <f t="shared" si="14"/>
        <v>0.928473939</v>
      </c>
      <c r="T26" s="144">
        <f t="shared" si="14"/>
        <v>0.928473939</v>
      </c>
      <c r="U26" s="144">
        <f t="shared" si="14"/>
        <v>0.928473939</v>
      </c>
      <c r="V26" s="144">
        <f t="shared" si="14"/>
        <v>0.928473939</v>
      </c>
      <c r="W26" s="144">
        <f t="shared" si="14"/>
        <v>0.928473939</v>
      </c>
      <c r="X26" s="144">
        <f t="shared" si="14"/>
        <v>0.928473939</v>
      </c>
      <c r="Y26" s="144">
        <f t="shared" si="14"/>
        <v>0.928473939</v>
      </c>
      <c r="Z26" s="144">
        <f t="shared" si="14"/>
        <v>0.928473939</v>
      </c>
      <c r="AA26" s="144">
        <f t="shared" si="14"/>
        <v>0.928473939</v>
      </c>
      <c r="AB26" s="144">
        <f t="shared" si="14"/>
        <v>0.928473939</v>
      </c>
      <c r="AC26" s="144">
        <f t="shared" si="14"/>
        <v>0.928473939</v>
      </c>
      <c r="AD26" s="144">
        <f t="shared" si="14"/>
        <v>0.928473939</v>
      </c>
      <c r="AE26" s="144">
        <f t="shared" si="14"/>
        <v>0.928473939</v>
      </c>
      <c r="AF26" s="144">
        <f t="shared" si="14"/>
        <v>0.928473939</v>
      </c>
      <c r="AG26" s="144">
        <f t="shared" si="14"/>
        <v>0.928473939</v>
      </c>
      <c r="AH26" s="144">
        <f t="shared" si="14"/>
        <v>0.928473939</v>
      </c>
      <c r="AI26" s="145">
        <f t="shared" si="14"/>
        <v>0.928473939</v>
      </c>
    </row>
    <row r="27">
      <c r="A27" s="64"/>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64"/>
      <c r="AB27" s="64"/>
      <c r="AC27" s="64"/>
      <c r="AD27" s="64"/>
      <c r="AE27" s="64"/>
      <c r="AF27" s="64"/>
      <c r="AG27" s="64"/>
      <c r="AH27" s="64"/>
      <c r="AI27" s="64"/>
    </row>
    <row r="28">
      <c r="A28" s="64"/>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64"/>
      <c r="AB28" s="64"/>
      <c r="AC28" s="64"/>
      <c r="AD28" s="64"/>
      <c r="AE28" s="64"/>
      <c r="AF28" s="64"/>
      <c r="AG28" s="64"/>
      <c r="AH28" s="64"/>
      <c r="AI28" s="64"/>
    </row>
    <row r="29">
      <c r="A29" s="64"/>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64"/>
      <c r="AB29" s="64"/>
      <c r="AC29" s="64"/>
      <c r="AD29" s="64"/>
      <c r="AE29" s="64"/>
      <c r="AF29" s="64"/>
      <c r="AG29" s="64"/>
      <c r="AH29" s="64"/>
      <c r="AI29" s="64"/>
    </row>
    <row r="30">
      <c r="A30" s="64"/>
      <c r="B30" s="64"/>
      <c r="C30" s="64"/>
      <c r="D30" s="64"/>
      <c r="E30" s="64"/>
      <c r="F30" s="64"/>
      <c r="G30" s="64"/>
      <c r="H30" s="64"/>
      <c r="I30" s="64"/>
      <c r="J30" s="64"/>
      <c r="K30" s="64"/>
      <c r="L30" s="64"/>
      <c r="M30" s="64"/>
      <c r="N30" s="64"/>
      <c r="O30" s="64"/>
      <c r="P30" s="64"/>
      <c r="Q30" s="64"/>
      <c r="R30" s="64"/>
      <c r="S30" s="64"/>
      <c r="T30" s="64"/>
      <c r="U30" s="64"/>
      <c r="V30" s="64"/>
      <c r="W30" s="64"/>
      <c r="X30" s="64"/>
      <c r="Y30" s="64"/>
      <c r="Z30" s="64"/>
      <c r="AA30" s="64"/>
      <c r="AB30" s="64"/>
      <c r="AC30" s="64"/>
      <c r="AD30" s="64"/>
      <c r="AE30" s="64"/>
      <c r="AF30" s="64"/>
      <c r="AG30" s="64"/>
      <c r="AH30" s="64"/>
      <c r="AI30" s="64"/>
    </row>
    <row r="31">
      <c r="A31" s="64"/>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c r="AB31" s="64"/>
      <c r="AC31" s="64"/>
      <c r="AD31" s="64"/>
      <c r="AE31" s="64"/>
      <c r="AF31" s="64"/>
      <c r="AG31" s="64"/>
      <c r="AH31" s="64"/>
      <c r="AI31" s="64"/>
    </row>
    <row r="32">
      <c r="A32" s="64"/>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c r="AB32" s="64"/>
      <c r="AC32" s="64"/>
      <c r="AD32" s="64"/>
      <c r="AE32" s="64"/>
      <c r="AF32" s="64"/>
      <c r="AG32" s="64"/>
      <c r="AH32" s="64"/>
      <c r="AI32" s="64"/>
    </row>
    <row r="33">
      <c r="A33" s="64"/>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64"/>
      <c r="AC33" s="64"/>
      <c r="AD33" s="64"/>
      <c r="AE33" s="64"/>
      <c r="AF33" s="64"/>
      <c r="AG33" s="64"/>
      <c r="AH33" s="64"/>
      <c r="AI33" s="64"/>
    </row>
    <row r="34">
      <c r="A34" s="64"/>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64"/>
      <c r="AC34" s="64"/>
      <c r="AD34" s="64"/>
      <c r="AE34" s="64"/>
      <c r="AF34" s="64"/>
      <c r="AG34" s="64"/>
      <c r="AH34" s="64"/>
      <c r="AI34" s="64"/>
    </row>
    <row r="35">
      <c r="A35" s="64"/>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64"/>
      <c r="AC35" s="64"/>
      <c r="AD35" s="64"/>
      <c r="AE35" s="64"/>
      <c r="AF35" s="64"/>
      <c r="AG35" s="64"/>
      <c r="AH35" s="64"/>
      <c r="AI35" s="64"/>
    </row>
    <row r="36">
      <c r="A36" s="64"/>
      <c r="B36" s="64"/>
      <c r="C36" s="64"/>
      <c r="D36" s="64"/>
      <c r="E36" s="64"/>
      <c r="F36" s="64"/>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c r="AI36" s="64"/>
    </row>
    <row r="37">
      <c r="A37" s="64"/>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64"/>
      <c r="AC37" s="64"/>
      <c r="AD37" s="64"/>
      <c r="AE37" s="64"/>
      <c r="AF37" s="64"/>
      <c r="AG37" s="64"/>
      <c r="AH37" s="64"/>
      <c r="AI37" s="64"/>
    </row>
    <row r="38">
      <c r="A38" s="64"/>
      <c r="B38" s="64"/>
      <c r="C38" s="64"/>
      <c r="D38" s="64"/>
      <c r="E38" s="64"/>
      <c r="F38" s="64"/>
      <c r="G38" s="64"/>
      <c r="H38" s="64"/>
      <c r="I38" s="64"/>
      <c r="J38" s="64"/>
      <c r="K38" s="64"/>
      <c r="L38" s="64"/>
      <c r="M38" s="64"/>
      <c r="N38" s="64"/>
      <c r="O38" s="64"/>
      <c r="P38" s="64"/>
      <c r="Q38" s="64"/>
      <c r="R38" s="64"/>
      <c r="S38" s="64"/>
      <c r="T38" s="64"/>
      <c r="U38" s="64"/>
      <c r="V38" s="64"/>
      <c r="W38" s="64"/>
      <c r="X38" s="64"/>
      <c r="Y38" s="64"/>
      <c r="Z38" s="64"/>
      <c r="AA38" s="64"/>
      <c r="AB38" s="64"/>
      <c r="AC38" s="64"/>
      <c r="AD38" s="64"/>
      <c r="AE38" s="64"/>
      <c r="AF38" s="64"/>
      <c r="AG38" s="64"/>
      <c r="AH38" s="64"/>
      <c r="AI38" s="64"/>
    </row>
    <row r="39">
      <c r="A39" s="64"/>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64"/>
      <c r="AB39" s="64"/>
      <c r="AC39" s="64"/>
      <c r="AD39" s="64"/>
      <c r="AE39" s="64"/>
      <c r="AF39" s="64"/>
      <c r="AG39" s="64"/>
      <c r="AH39" s="64"/>
      <c r="AI39" s="64"/>
    </row>
    <row r="40">
      <c r="A40" s="64"/>
      <c r="B40" s="64"/>
      <c r="C40" s="64"/>
      <c r="D40" s="64"/>
      <c r="E40" s="64"/>
      <c r="F40" s="64"/>
      <c r="G40" s="64"/>
      <c r="H40" s="64"/>
      <c r="I40" s="64"/>
      <c r="J40" s="64"/>
      <c r="K40" s="64"/>
      <c r="L40" s="64"/>
      <c r="M40" s="64"/>
      <c r="N40" s="64"/>
      <c r="O40" s="64"/>
      <c r="P40" s="64"/>
      <c r="Q40" s="64"/>
      <c r="R40" s="64"/>
      <c r="S40" s="64"/>
      <c r="T40" s="64"/>
      <c r="U40" s="64"/>
      <c r="V40" s="64"/>
      <c r="W40" s="64"/>
      <c r="X40" s="64"/>
      <c r="Y40" s="64"/>
      <c r="Z40" s="64"/>
      <c r="AA40" s="64"/>
      <c r="AB40" s="64"/>
      <c r="AC40" s="64"/>
      <c r="AD40" s="64"/>
      <c r="AE40" s="64"/>
      <c r="AF40" s="64"/>
      <c r="AG40" s="64"/>
      <c r="AH40" s="64"/>
      <c r="AI40" s="64"/>
    </row>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4">
    <mergeCell ref="A1:H1"/>
    <mergeCell ref="G5:H5"/>
    <mergeCell ref="I5:J5"/>
    <mergeCell ref="I12:AH12"/>
  </mergeCells>
  <conditionalFormatting sqref="A1:E40 F1:F6 G1:AI40 F8:F40">
    <cfRule type="containsBlanks" dxfId="1" priority="1">
      <formula>LEN(TRIM(A1))=0</formula>
    </cfRule>
  </conditionalFormatting>
  <dataValidations>
    <dataValidation type="list" allowBlank="1" sqref="B4">
      <formula1>BOM!$AA$3:$AC$3</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xSplit="1.0" ySplit="12.0" topLeftCell="B13" activePane="bottomRight" state="frozen"/>
      <selection activeCell="B1" sqref="B1" pane="topRight"/>
      <selection activeCell="A13" sqref="A13" pane="bottomLeft"/>
      <selection activeCell="B13" sqref="B13" pane="bottomRight"/>
    </sheetView>
  </sheetViews>
  <sheetFormatPr customHeight="1" defaultColWidth="12.63" defaultRowHeight="15.75"/>
  <cols>
    <col customWidth="1" min="1" max="1" width="34.63"/>
    <col customWidth="1" min="2" max="2" width="18.5"/>
    <col customWidth="1" min="3" max="3" width="19.88"/>
    <col customWidth="1" min="4" max="4" width="21.5"/>
    <col customWidth="1" min="5" max="5" width="20.0"/>
    <col customWidth="1" min="6" max="6" width="20.5"/>
    <col customWidth="1" min="7" max="7" width="23.5"/>
    <col customWidth="1" min="8" max="8" width="15.13"/>
    <col customWidth="1" min="9" max="9" width="10.13"/>
    <col customWidth="1" min="10" max="33" width="8.5"/>
    <col customWidth="1" min="34" max="34" width="13.5"/>
    <col customWidth="1" min="35" max="35" width="11.5"/>
  </cols>
  <sheetData>
    <row r="1" ht="31.5" customHeight="1">
      <c r="A1" s="146" t="s">
        <v>254</v>
      </c>
      <c r="B1" s="27"/>
      <c r="C1" s="27"/>
      <c r="D1" s="27"/>
      <c r="E1" s="27"/>
      <c r="F1" s="27"/>
      <c r="G1" s="27"/>
      <c r="H1" s="28"/>
      <c r="I1" s="110"/>
      <c r="J1" s="110"/>
      <c r="K1" s="110"/>
      <c r="L1" s="110"/>
      <c r="M1" s="64"/>
      <c r="N1" s="64"/>
      <c r="O1" s="64"/>
      <c r="P1" s="64"/>
      <c r="Q1" s="64"/>
      <c r="R1" s="64"/>
      <c r="S1" s="64"/>
      <c r="T1" s="64"/>
      <c r="U1" s="64"/>
      <c r="V1" s="64"/>
      <c r="W1" s="64"/>
      <c r="X1" s="64"/>
      <c r="Y1" s="64"/>
      <c r="Z1" s="64"/>
      <c r="AA1" s="64"/>
      <c r="AB1" s="64"/>
      <c r="AC1" s="64"/>
      <c r="AD1" s="64"/>
      <c r="AE1" s="64"/>
      <c r="AF1" s="64"/>
      <c r="AG1" s="64"/>
      <c r="AH1" s="64"/>
      <c r="AI1" s="64"/>
    </row>
    <row r="2">
      <c r="A2" s="64"/>
      <c r="B2" s="64"/>
      <c r="C2" s="64"/>
      <c r="D2" s="64"/>
      <c r="E2" s="64"/>
      <c r="F2" s="85" t="s">
        <v>255</v>
      </c>
      <c r="G2" s="85">
        <v>40000.0</v>
      </c>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row>
    <row r="3">
      <c r="A3" s="112" t="s">
        <v>256</v>
      </c>
      <c r="B3" s="112" t="s">
        <v>206</v>
      </c>
      <c r="C3" s="147" t="s">
        <v>257</v>
      </c>
      <c r="D3" s="147" t="s">
        <v>258</v>
      </c>
      <c r="E3" s="147" t="s">
        <v>259</v>
      </c>
      <c r="F3" s="147" t="s">
        <v>258</v>
      </c>
      <c r="G3" s="147" t="s">
        <v>259</v>
      </c>
      <c r="H3" s="147" t="s">
        <v>257</v>
      </c>
      <c r="I3" s="64"/>
      <c r="J3" s="85" t="s">
        <v>258</v>
      </c>
      <c r="K3" s="85" t="s">
        <v>259</v>
      </c>
      <c r="L3" s="85" t="s">
        <v>260</v>
      </c>
      <c r="M3" s="64"/>
      <c r="N3" s="64"/>
      <c r="O3" s="64"/>
      <c r="P3" s="64"/>
      <c r="Q3" s="64"/>
      <c r="R3" s="64"/>
      <c r="S3" s="64"/>
      <c r="T3" s="64"/>
      <c r="U3" s="64"/>
      <c r="V3" s="64"/>
      <c r="W3" s="64"/>
      <c r="X3" s="64"/>
      <c r="Y3" s="64"/>
      <c r="Z3" s="64"/>
      <c r="AA3" s="64"/>
      <c r="AB3" s="64"/>
      <c r="AC3" s="64"/>
      <c r="AD3" s="64"/>
      <c r="AE3" s="64"/>
      <c r="AF3" s="64"/>
      <c r="AG3" s="64"/>
      <c r="AH3" s="64"/>
      <c r="AI3" s="64"/>
    </row>
    <row r="4">
      <c r="A4" s="114" t="s">
        <v>261</v>
      </c>
      <c r="B4" s="148" t="s">
        <v>88</v>
      </c>
      <c r="C4" s="147">
        <v>2.0</v>
      </c>
      <c r="D4" s="147">
        <v>2.0</v>
      </c>
      <c r="E4" s="147">
        <v>3.0</v>
      </c>
      <c r="F4" s="147">
        <v>115000.0</v>
      </c>
      <c r="G4" s="147">
        <v>85000.0</v>
      </c>
      <c r="H4" s="147">
        <v>100000.0</v>
      </c>
      <c r="I4" s="64"/>
      <c r="J4" s="64">
        <f t="shared" ref="J4:L4" si="1">F7</f>
        <v>225000</v>
      </c>
      <c r="K4" s="64">
        <f t="shared" si="1"/>
        <v>205000</v>
      </c>
      <c r="L4" s="64">
        <f t="shared" si="1"/>
        <v>210000</v>
      </c>
      <c r="M4" s="64"/>
      <c r="N4" s="64"/>
      <c r="O4" s="64"/>
      <c r="P4" s="64"/>
      <c r="Q4" s="64"/>
      <c r="R4" s="64"/>
      <c r="S4" s="64"/>
      <c r="T4" s="64"/>
      <c r="U4" s="64"/>
      <c r="V4" s="64"/>
      <c r="W4" s="64"/>
      <c r="X4" s="64"/>
      <c r="Y4" s="64"/>
      <c r="Z4" s="64"/>
      <c r="AA4" s="64"/>
      <c r="AB4" s="64"/>
      <c r="AC4" s="64"/>
      <c r="AD4" s="64"/>
      <c r="AE4" s="64"/>
      <c r="AF4" s="64"/>
      <c r="AG4" s="64"/>
      <c r="AH4" s="64"/>
      <c r="AI4" s="64"/>
    </row>
    <row r="5">
      <c r="A5" s="114" t="s">
        <v>89</v>
      </c>
      <c r="B5" s="148">
        <v>3.0</v>
      </c>
      <c r="C5" s="147" t="s">
        <v>262</v>
      </c>
      <c r="D5" s="147" t="s">
        <v>262</v>
      </c>
      <c r="E5" s="147" t="s">
        <v>263</v>
      </c>
      <c r="F5" s="149">
        <f>D4*G2</f>
        <v>80000</v>
      </c>
      <c r="G5" s="149">
        <f>E4*G2</f>
        <v>120000</v>
      </c>
      <c r="H5" s="147">
        <f>C4*G2</f>
        <v>80000</v>
      </c>
      <c r="I5" s="85"/>
      <c r="J5" s="85">
        <v>62100.0</v>
      </c>
      <c r="K5" s="82">
        <v>27600.0</v>
      </c>
      <c r="L5" s="64"/>
      <c r="M5" s="64"/>
      <c r="N5" s="64"/>
      <c r="O5" s="64"/>
      <c r="P5" s="64"/>
      <c r="Q5" s="64"/>
      <c r="R5" s="64"/>
      <c r="S5" s="64"/>
      <c r="T5" s="64"/>
      <c r="U5" s="64"/>
      <c r="V5" s="64"/>
      <c r="W5" s="64"/>
      <c r="X5" s="64"/>
      <c r="Y5" s="64"/>
      <c r="Z5" s="64"/>
      <c r="AA5" s="64"/>
      <c r="AB5" s="64"/>
      <c r="AC5" s="64"/>
      <c r="AD5" s="64"/>
      <c r="AE5" s="64"/>
      <c r="AF5" s="64"/>
      <c r="AG5" s="64"/>
      <c r="AH5" s="64"/>
      <c r="AI5" s="64"/>
    </row>
    <row r="6">
      <c r="A6" s="114" t="s">
        <v>61</v>
      </c>
      <c r="B6" s="148" t="s">
        <v>264</v>
      </c>
      <c r="C6" s="64"/>
      <c r="D6" s="64"/>
      <c r="E6" s="64"/>
      <c r="F6" s="147">
        <v>30000.0</v>
      </c>
      <c r="G6" s="147">
        <v>0.0</v>
      </c>
      <c r="H6" s="147">
        <v>30000.0</v>
      </c>
      <c r="I6" s="64"/>
      <c r="J6" s="64">
        <f t="shared" ref="J6:K6" si="2">sum(J4:J5)</f>
        <v>287100</v>
      </c>
      <c r="K6" s="64">
        <f t="shared" si="2"/>
        <v>232600</v>
      </c>
      <c r="L6" s="64"/>
      <c r="M6" s="64"/>
      <c r="N6" s="64"/>
      <c r="O6" s="64"/>
      <c r="P6" s="64"/>
      <c r="Q6" s="64"/>
      <c r="R6" s="64"/>
      <c r="S6" s="64"/>
      <c r="T6" s="64"/>
      <c r="U6" s="64"/>
      <c r="V6" s="64"/>
      <c r="W6" s="64"/>
      <c r="X6" s="64"/>
      <c r="Y6" s="64"/>
      <c r="Z6" s="64"/>
      <c r="AA6" s="64"/>
      <c r="AB6" s="64"/>
      <c r="AC6" s="64"/>
      <c r="AD6" s="64"/>
      <c r="AE6" s="64"/>
      <c r="AF6" s="64"/>
      <c r="AG6" s="64"/>
      <c r="AH6" s="64"/>
      <c r="AI6" s="64"/>
    </row>
    <row r="7">
      <c r="A7" s="64"/>
      <c r="B7" s="64"/>
      <c r="C7" s="64"/>
      <c r="D7" s="64"/>
      <c r="E7" s="64"/>
      <c r="F7" s="149">
        <f t="shared" ref="F7:H7" si="3">sum(F4:F6)</f>
        <v>225000</v>
      </c>
      <c r="G7" s="149">
        <f t="shared" si="3"/>
        <v>205000</v>
      </c>
      <c r="H7" s="149">
        <f t="shared" si="3"/>
        <v>210000</v>
      </c>
      <c r="I7" s="64"/>
      <c r="J7" s="64"/>
      <c r="K7" s="64"/>
      <c r="L7" s="64"/>
      <c r="M7" s="64"/>
      <c r="N7" s="64"/>
      <c r="O7" s="64"/>
      <c r="P7" s="64"/>
      <c r="Q7" s="64"/>
      <c r="R7" s="64"/>
      <c r="S7" s="64"/>
      <c r="T7" s="64"/>
      <c r="U7" s="64"/>
      <c r="V7" s="64"/>
      <c r="W7" s="64"/>
      <c r="X7" s="64"/>
      <c r="Y7" s="64"/>
      <c r="Z7" s="64"/>
      <c r="AA7" s="64"/>
      <c r="AB7" s="64"/>
      <c r="AC7" s="64"/>
      <c r="AD7" s="64"/>
      <c r="AE7" s="64"/>
      <c r="AF7" s="64"/>
      <c r="AG7" s="64"/>
      <c r="AH7" s="64"/>
      <c r="AI7" s="64"/>
    </row>
    <row r="8" ht="34.5" customHeight="1">
      <c r="A8" s="116" t="s">
        <v>96</v>
      </c>
      <c r="B8" s="67" t="s">
        <v>265</v>
      </c>
      <c r="C8" s="67" t="s">
        <v>266</v>
      </c>
      <c r="D8" s="67" t="s">
        <v>267</v>
      </c>
      <c r="E8" s="67" t="s">
        <v>268</v>
      </c>
      <c r="F8" s="67" t="s">
        <v>269</v>
      </c>
      <c r="G8" s="67" t="s">
        <v>270</v>
      </c>
      <c r="H8" s="64"/>
      <c r="I8" s="64"/>
      <c r="J8" s="64"/>
      <c r="K8" s="64"/>
      <c r="L8" s="64"/>
      <c r="M8" s="64"/>
      <c r="N8" s="64"/>
      <c r="O8" s="64"/>
      <c r="P8" s="64"/>
      <c r="Q8" s="64"/>
      <c r="R8" s="64"/>
      <c r="S8" s="64"/>
      <c r="T8" s="64"/>
      <c r="U8" s="64"/>
      <c r="V8" s="64"/>
      <c r="W8" s="64"/>
      <c r="X8" s="64"/>
      <c r="Y8" s="64"/>
      <c r="Z8" s="64"/>
      <c r="AA8" s="64"/>
      <c r="AB8" s="64"/>
      <c r="AC8" s="64"/>
      <c r="AD8" s="64"/>
      <c r="AE8" s="64"/>
      <c r="AF8" s="64"/>
      <c r="AG8" s="64"/>
      <c r="AH8" s="64"/>
      <c r="AI8" s="64"/>
    </row>
    <row r="9">
      <c r="A9" s="82">
        <f>IF(B6="yes",IF(B4=BOM!S3,VLOOKUP(A8,BOM!R3:U13,2,0)*110%,IF(B4=BOM!T3,VLOOKUP(A8,BOM!R3:U13,3,0)*110%,VLOOKUP(A8,BOM!R3:U13,4,0)*110%)),IF(B4=BOM!S3,VLOOKUP(A8,BOM!R3:U13,2,0),IF(B4=BOM!T3,VLOOKUP(A8,BOM!R3:U13,3,0),VLOOKUP(A8,BOM!R3:U13,4,0))))</f>
        <v>2500</v>
      </c>
      <c r="B9" s="64">
        <f>VLOOKUP(B5,BOM!W:X,2,0)</f>
        <v>120</v>
      </c>
      <c r="C9" s="150">
        <v>10.8</v>
      </c>
      <c r="D9" s="150">
        <v>9.1</v>
      </c>
      <c r="E9" s="64">
        <f>B9-C9-D9</f>
        <v>100.1</v>
      </c>
      <c r="F9" s="151">
        <f>IF(B4="Top speed 1",15%,if(B4="Multi Flex 1",8%,0))</f>
        <v>0.08</v>
      </c>
      <c r="G9" s="82">
        <f>E9*A9</f>
        <v>250250</v>
      </c>
      <c r="H9" s="64"/>
      <c r="I9" s="64"/>
      <c r="J9" s="64"/>
      <c r="K9" s="64"/>
      <c r="L9" s="64"/>
      <c r="M9" s="64"/>
      <c r="N9" s="64"/>
      <c r="O9" s="64"/>
      <c r="P9" s="64"/>
      <c r="Q9" s="64"/>
      <c r="R9" s="64"/>
      <c r="S9" s="64"/>
      <c r="T9" s="64"/>
      <c r="U9" s="64"/>
      <c r="V9" s="64"/>
      <c r="W9" s="64"/>
      <c r="X9" s="64"/>
      <c r="Y9" s="64"/>
      <c r="Z9" s="64"/>
      <c r="AA9" s="64"/>
      <c r="AB9" s="64"/>
      <c r="AC9" s="64"/>
      <c r="AD9" s="64"/>
      <c r="AE9" s="64"/>
      <c r="AF9" s="64"/>
      <c r="AG9" s="64"/>
      <c r="AH9" s="64"/>
      <c r="AI9" s="64"/>
    </row>
    <row r="10">
      <c r="A10" s="64"/>
      <c r="B10" s="64"/>
      <c r="C10" s="64"/>
      <c r="D10" s="64"/>
      <c r="E10" s="64"/>
      <c r="F10" s="64"/>
      <c r="G10" s="64"/>
      <c r="H10" s="64"/>
      <c r="I10" s="64"/>
      <c r="J10" s="64"/>
      <c r="K10" s="64"/>
      <c r="L10" s="64"/>
      <c r="M10" s="64"/>
      <c r="N10" s="64"/>
      <c r="O10" s="64"/>
      <c r="P10" s="64"/>
      <c r="Q10" s="64"/>
      <c r="R10" s="64"/>
      <c r="S10" s="64"/>
      <c r="T10" s="64"/>
      <c r="U10" s="64"/>
      <c r="V10" s="64"/>
      <c r="W10" s="64"/>
      <c r="X10" s="64"/>
      <c r="Y10" s="64"/>
      <c r="Z10" s="64"/>
      <c r="AA10" s="64"/>
      <c r="AB10" s="64"/>
      <c r="AC10" s="64"/>
      <c r="AD10" s="64"/>
      <c r="AE10" s="64"/>
      <c r="AF10" s="64"/>
      <c r="AG10" s="64"/>
      <c r="AH10" s="64"/>
      <c r="AI10" s="64"/>
    </row>
    <row r="11">
      <c r="A11" s="152"/>
      <c r="B11" s="64"/>
      <c r="C11" s="67" t="s">
        <v>112</v>
      </c>
      <c r="D11" s="67" t="s">
        <v>118</v>
      </c>
      <c r="E11" s="64"/>
      <c r="F11" s="64"/>
      <c r="G11" s="64"/>
      <c r="H11" s="64"/>
      <c r="I11" s="64"/>
      <c r="J11" s="64"/>
      <c r="K11" s="64"/>
      <c r="L11" s="64"/>
      <c r="M11" s="64"/>
      <c r="N11" s="64"/>
      <c r="O11" s="64"/>
      <c r="P11" s="64"/>
      <c r="Q11" s="64"/>
      <c r="R11" s="64"/>
      <c r="S11" s="64"/>
      <c r="T11" s="64"/>
      <c r="U11" s="64"/>
      <c r="V11" s="64"/>
      <c r="W11" s="64"/>
      <c r="X11" s="64"/>
      <c r="Y11" s="64"/>
      <c r="Z11" s="64"/>
      <c r="AA11" s="64"/>
      <c r="AB11" s="64"/>
      <c r="AC11" s="64"/>
      <c r="AD11" s="64"/>
      <c r="AE11" s="64"/>
      <c r="AF11" s="64"/>
      <c r="AG11" s="64"/>
      <c r="AH11" s="64"/>
      <c r="AI11" s="64"/>
    </row>
    <row r="12">
      <c r="A12" s="153" t="s">
        <v>271</v>
      </c>
      <c r="B12" s="5"/>
      <c r="C12" s="74">
        <f>IF(B4=BOM!S3,VLOOKUP(C11,BOM!R3:U13,2,0),IF(B4=BOM!T3,VLOOKUP(C11,BOM!R3:U13,3,0),VLOOKUP(C11,BOM!R3:U13,4,0)))</f>
        <v>1</v>
      </c>
      <c r="D12" s="74">
        <f>IF(B4=BOM!S3,VLOOKUP(D11,BOM!R3:U13,2,0),IF(B4=BOM!T3,VLOOKUP(D11,BOM!R3:U13,3,0),VLOOKUP(D11,BOM!R3:U13,4,0)))</f>
        <v>2</v>
      </c>
      <c r="E12" s="64"/>
      <c r="F12" s="64"/>
      <c r="G12" s="64"/>
      <c r="H12" s="64"/>
      <c r="I12" s="64"/>
      <c r="J12" s="64"/>
      <c r="K12" s="64"/>
      <c r="L12" s="64"/>
      <c r="M12" s="64"/>
      <c r="N12" s="64"/>
      <c r="O12" s="64"/>
      <c r="P12" s="64"/>
      <c r="Q12" s="64"/>
      <c r="R12" s="64"/>
      <c r="S12" s="64"/>
      <c r="T12" s="64"/>
      <c r="U12" s="64"/>
      <c r="V12" s="64"/>
      <c r="W12" s="64"/>
      <c r="X12" s="64"/>
      <c r="Y12" s="64"/>
      <c r="Z12" s="64"/>
      <c r="AA12" s="64"/>
      <c r="AB12" s="64"/>
      <c r="AC12" s="64"/>
      <c r="AD12" s="64"/>
      <c r="AE12" s="64"/>
      <c r="AF12" s="64"/>
      <c r="AG12" s="64"/>
      <c r="AH12" s="64"/>
      <c r="AI12" s="64"/>
    </row>
    <row r="13">
      <c r="A13" s="114" t="s">
        <v>272</v>
      </c>
      <c r="B13" s="154" t="s">
        <v>273</v>
      </c>
      <c r="C13" s="88">
        <f>IF(B13="Yes",C12*70%,C12)</f>
        <v>0.7</v>
      </c>
      <c r="D13" s="88">
        <f>IF(B13="Yes",D12*70%,D12)</f>
        <v>1.4</v>
      </c>
      <c r="E13" s="64"/>
      <c r="F13" s="64"/>
      <c r="G13" s="64"/>
      <c r="H13" s="64"/>
      <c r="I13" s="64"/>
      <c r="J13" s="64"/>
      <c r="K13" s="64"/>
      <c r="L13" s="64"/>
      <c r="M13" s="64"/>
      <c r="N13" s="64"/>
      <c r="O13" s="64"/>
      <c r="P13" s="64"/>
      <c r="Q13" s="64"/>
      <c r="R13" s="64"/>
      <c r="S13" s="64"/>
      <c r="T13" s="64"/>
      <c r="U13" s="64"/>
      <c r="V13" s="64"/>
      <c r="W13" s="64"/>
      <c r="X13" s="64"/>
      <c r="Y13" s="64"/>
      <c r="Z13" s="64"/>
      <c r="AA13" s="64"/>
      <c r="AB13" s="64"/>
      <c r="AC13" s="64"/>
      <c r="AD13" s="64"/>
      <c r="AE13" s="64"/>
      <c r="AF13" s="64"/>
      <c r="AG13" s="64"/>
      <c r="AH13" s="64"/>
      <c r="AI13" s="64"/>
    </row>
    <row r="14" ht="27.75" customHeight="1">
      <c r="A14" s="64"/>
      <c r="B14" s="64"/>
      <c r="C14" s="64"/>
      <c r="D14" s="64"/>
      <c r="E14" s="64"/>
      <c r="F14" s="64"/>
      <c r="G14" s="64" t="s">
        <v>274</v>
      </c>
      <c r="H14" s="155" t="s">
        <v>275</v>
      </c>
      <c r="I14" s="156"/>
      <c r="J14" s="156"/>
      <c r="K14" s="156"/>
      <c r="L14" s="156"/>
      <c r="M14" s="156"/>
      <c r="N14" s="156"/>
      <c r="O14" s="156"/>
      <c r="P14" s="156"/>
      <c r="Q14" s="156"/>
      <c r="R14" s="156"/>
      <c r="S14" s="156"/>
      <c r="T14" s="156"/>
      <c r="U14" s="156"/>
      <c r="V14" s="156"/>
      <c r="W14" s="156"/>
      <c r="X14" s="156"/>
      <c r="Y14" s="156"/>
      <c r="Z14" s="156"/>
      <c r="AA14" s="156"/>
      <c r="AB14" s="156"/>
      <c r="AC14" s="156"/>
      <c r="AD14" s="156"/>
      <c r="AE14" s="156"/>
      <c r="AF14" s="156"/>
      <c r="AG14" s="156"/>
      <c r="AH14" s="157"/>
    </row>
    <row r="15">
      <c r="A15" s="67" t="s">
        <v>72</v>
      </c>
      <c r="B15" s="67" t="s">
        <v>276</v>
      </c>
      <c r="C15" s="67" t="s">
        <v>217</v>
      </c>
      <c r="D15" s="67" t="s">
        <v>218</v>
      </c>
      <c r="E15" s="67" t="s">
        <v>277</v>
      </c>
      <c r="F15" s="67" t="s">
        <v>83</v>
      </c>
      <c r="G15" s="67" t="s">
        <v>221</v>
      </c>
      <c r="H15" s="158" t="s">
        <v>222</v>
      </c>
      <c r="I15" s="158" t="s">
        <v>223</v>
      </c>
      <c r="J15" s="158" t="s">
        <v>224</v>
      </c>
      <c r="K15" s="158" t="s">
        <v>225</v>
      </c>
      <c r="L15" s="158" t="s">
        <v>226</v>
      </c>
      <c r="M15" s="158" t="s">
        <v>227</v>
      </c>
      <c r="N15" s="158" t="s">
        <v>228</v>
      </c>
      <c r="O15" s="158" t="s">
        <v>229</v>
      </c>
      <c r="P15" s="158" t="s">
        <v>230</v>
      </c>
      <c r="Q15" s="158" t="s">
        <v>231</v>
      </c>
      <c r="R15" s="158" t="s">
        <v>232</v>
      </c>
      <c r="S15" s="158" t="s">
        <v>233</v>
      </c>
      <c r="T15" s="158" t="s">
        <v>234</v>
      </c>
      <c r="U15" s="158" t="s">
        <v>235</v>
      </c>
      <c r="V15" s="158" t="s">
        <v>236</v>
      </c>
      <c r="W15" s="158" t="s">
        <v>237</v>
      </c>
      <c r="X15" s="158" t="s">
        <v>238</v>
      </c>
      <c r="Y15" s="158" t="s">
        <v>239</v>
      </c>
      <c r="Z15" s="158" t="s">
        <v>240</v>
      </c>
      <c r="AA15" s="158" t="s">
        <v>241</v>
      </c>
      <c r="AB15" s="158" t="s">
        <v>242</v>
      </c>
      <c r="AC15" s="158" t="s">
        <v>243</v>
      </c>
      <c r="AD15" s="158" t="s">
        <v>244</v>
      </c>
      <c r="AE15" s="158" t="s">
        <v>245</v>
      </c>
      <c r="AF15" s="158" t="s">
        <v>246</v>
      </c>
      <c r="AG15" s="158" t="s">
        <v>247</v>
      </c>
      <c r="AH15" s="159" t="s">
        <v>248</v>
      </c>
    </row>
    <row r="16" ht="15.75" customHeight="1">
      <c r="A16" s="125" t="str">
        <f>Inbound!A5</f>
        <v>Fressie Orange 1 liter</v>
      </c>
      <c r="B16" s="126">
        <f>Inbound!B21</f>
        <v>68429</v>
      </c>
      <c r="C16" s="73">
        <v>5.0</v>
      </c>
      <c r="D16" s="88">
        <f t="shared" ref="D16:D21" si="4">5*26/C16</f>
        <v>26</v>
      </c>
      <c r="E16" s="74">
        <f t="shared" ref="E16:E21" si="5">B16*C16/5</f>
        <v>68429</v>
      </c>
      <c r="F16" s="88">
        <v>1.0</v>
      </c>
      <c r="G16" s="74">
        <f t="shared" ref="G16:G21" si="6">E16*F16</f>
        <v>68429</v>
      </c>
      <c r="H16" s="74">
        <v>68429.0</v>
      </c>
      <c r="I16" s="74">
        <v>68429.0</v>
      </c>
      <c r="J16" s="74">
        <v>68429.0</v>
      </c>
      <c r="K16" s="74">
        <v>68429.0</v>
      </c>
      <c r="L16" s="74">
        <v>68429.0</v>
      </c>
      <c r="M16" s="74">
        <v>68429.0</v>
      </c>
      <c r="N16" s="74">
        <v>68429.0</v>
      </c>
      <c r="O16" s="74">
        <v>68429.0</v>
      </c>
      <c r="P16" s="74">
        <v>68429.0</v>
      </c>
      <c r="Q16" s="74">
        <v>68429.0</v>
      </c>
      <c r="R16" s="74">
        <v>68429.0</v>
      </c>
      <c r="S16" s="74">
        <v>68429.0</v>
      </c>
      <c r="T16" s="74">
        <v>68429.0</v>
      </c>
      <c r="U16" s="74">
        <v>68429.0</v>
      </c>
      <c r="V16" s="74">
        <v>68429.0</v>
      </c>
      <c r="W16" s="74">
        <v>68429.0</v>
      </c>
      <c r="X16" s="74">
        <v>68429.0</v>
      </c>
      <c r="Y16" s="74">
        <v>68429.0</v>
      </c>
      <c r="Z16" s="74">
        <v>68429.0</v>
      </c>
      <c r="AA16" s="74">
        <v>68429.0</v>
      </c>
      <c r="AB16" s="74">
        <v>68429.0</v>
      </c>
      <c r="AC16" s="74">
        <v>68429.0</v>
      </c>
      <c r="AD16" s="74">
        <v>68429.0</v>
      </c>
      <c r="AE16" s="74">
        <v>68429.0</v>
      </c>
      <c r="AF16" s="74">
        <v>68429.0</v>
      </c>
      <c r="AG16" s="74">
        <v>68429.0</v>
      </c>
      <c r="AH16" s="129">
        <f t="shared" ref="AH16:AH22" si="7">SUM(H16:AG16)</f>
        <v>1779154</v>
      </c>
    </row>
    <row r="17" ht="15.75" customHeight="1">
      <c r="A17" s="125" t="str">
        <f>Inbound!A6</f>
        <v>Fressie Orange/Mango 1 liter</v>
      </c>
      <c r="B17" s="126">
        <f>Inbound!B22</f>
        <v>11385</v>
      </c>
      <c r="C17" s="75">
        <f>Mixing!C15</f>
        <v>5</v>
      </c>
      <c r="D17" s="88">
        <f t="shared" si="4"/>
        <v>26</v>
      </c>
      <c r="E17" s="74">
        <f t="shared" si="5"/>
        <v>11385</v>
      </c>
      <c r="F17" s="88">
        <v>1.0</v>
      </c>
      <c r="G17" s="74">
        <f t="shared" si="6"/>
        <v>11385</v>
      </c>
      <c r="H17" s="74">
        <v>11385.0</v>
      </c>
      <c r="I17" s="74">
        <v>11385.0</v>
      </c>
      <c r="J17" s="74">
        <v>11385.0</v>
      </c>
      <c r="K17" s="74">
        <v>11385.0</v>
      </c>
      <c r="L17" s="74">
        <v>11385.0</v>
      </c>
      <c r="M17" s="74">
        <v>11385.0</v>
      </c>
      <c r="N17" s="74">
        <v>11385.0</v>
      </c>
      <c r="O17" s="74">
        <v>11385.0</v>
      </c>
      <c r="P17" s="74">
        <v>11385.0</v>
      </c>
      <c r="Q17" s="74">
        <v>11385.0</v>
      </c>
      <c r="R17" s="74">
        <v>11385.0</v>
      </c>
      <c r="S17" s="74">
        <v>11385.0</v>
      </c>
      <c r="T17" s="74">
        <v>11385.0</v>
      </c>
      <c r="U17" s="74">
        <v>11385.0</v>
      </c>
      <c r="V17" s="74">
        <v>11385.0</v>
      </c>
      <c r="W17" s="74">
        <v>11385.0</v>
      </c>
      <c r="X17" s="74">
        <v>11385.0</v>
      </c>
      <c r="Y17" s="74">
        <v>11385.0</v>
      </c>
      <c r="Z17" s="74">
        <v>11385.0</v>
      </c>
      <c r="AA17" s="74">
        <v>11385.0</v>
      </c>
      <c r="AB17" s="74">
        <v>11385.0</v>
      </c>
      <c r="AC17" s="74">
        <v>11385.0</v>
      </c>
      <c r="AD17" s="74">
        <v>11385.0</v>
      </c>
      <c r="AE17" s="74">
        <v>11385.0</v>
      </c>
      <c r="AF17" s="74">
        <v>11385.0</v>
      </c>
      <c r="AG17" s="74">
        <v>11385.0</v>
      </c>
      <c r="AH17" s="129">
        <f t="shared" si="7"/>
        <v>296010</v>
      </c>
    </row>
    <row r="18" ht="15.75" customHeight="1">
      <c r="A18" s="125" t="str">
        <f>Inbound!A7</f>
        <v>Fressie Orange/Mango+C 1L</v>
      </c>
      <c r="B18" s="126">
        <f>Inbound!B23</f>
        <v>42857</v>
      </c>
      <c r="C18" s="73">
        <v>5.0</v>
      </c>
      <c r="D18" s="88">
        <f t="shared" si="4"/>
        <v>26</v>
      </c>
      <c r="E18" s="74">
        <f t="shared" si="5"/>
        <v>42857</v>
      </c>
      <c r="F18" s="88">
        <v>1.0</v>
      </c>
      <c r="G18" s="74">
        <f t="shared" si="6"/>
        <v>42857</v>
      </c>
      <c r="H18" s="74">
        <v>42857.0</v>
      </c>
      <c r="I18" s="74">
        <v>42857.0</v>
      </c>
      <c r="J18" s="74">
        <v>42857.0</v>
      </c>
      <c r="K18" s="74">
        <v>42857.0</v>
      </c>
      <c r="L18" s="74">
        <v>42857.0</v>
      </c>
      <c r="M18" s="74">
        <v>42857.0</v>
      </c>
      <c r="N18" s="74">
        <v>42857.0</v>
      </c>
      <c r="O18" s="74">
        <v>42857.0</v>
      </c>
      <c r="P18" s="74">
        <v>42857.0</v>
      </c>
      <c r="Q18" s="74">
        <v>42857.0</v>
      </c>
      <c r="R18" s="74">
        <v>42857.0</v>
      </c>
      <c r="S18" s="74">
        <v>42857.0</v>
      </c>
      <c r="T18" s="74">
        <v>42857.0</v>
      </c>
      <c r="U18" s="74">
        <v>42857.0</v>
      </c>
      <c r="V18" s="74">
        <v>42857.0</v>
      </c>
      <c r="W18" s="74">
        <v>42857.0</v>
      </c>
      <c r="X18" s="74">
        <v>42857.0</v>
      </c>
      <c r="Y18" s="74">
        <v>42857.0</v>
      </c>
      <c r="Z18" s="74">
        <v>42857.0</v>
      </c>
      <c r="AA18" s="74">
        <v>42857.0</v>
      </c>
      <c r="AB18" s="74">
        <v>42857.0</v>
      </c>
      <c r="AC18" s="74">
        <v>42857.0</v>
      </c>
      <c r="AD18" s="74">
        <v>42857.0</v>
      </c>
      <c r="AE18" s="74">
        <v>42857.0</v>
      </c>
      <c r="AF18" s="74">
        <v>42857.0</v>
      </c>
      <c r="AG18" s="74">
        <v>42857.0</v>
      </c>
      <c r="AH18" s="129">
        <f t="shared" si="7"/>
        <v>1114282</v>
      </c>
    </row>
    <row r="19" ht="15.75" customHeight="1">
      <c r="A19" s="125" t="str">
        <f>Inbound!A8</f>
        <v>Fressie Orange PET</v>
      </c>
      <c r="B19" s="126">
        <f>Inbound!B24</f>
        <v>117494</v>
      </c>
      <c r="C19" s="75">
        <f>Mixing!C17</f>
        <v>5</v>
      </c>
      <c r="D19" s="88">
        <f t="shared" si="4"/>
        <v>26</v>
      </c>
      <c r="E19" s="74">
        <f t="shared" si="5"/>
        <v>117494</v>
      </c>
      <c r="F19" s="88">
        <v>0.3</v>
      </c>
      <c r="G19" s="74">
        <f t="shared" si="6"/>
        <v>35248.2</v>
      </c>
      <c r="H19" s="74">
        <v>35248.2</v>
      </c>
      <c r="I19" s="74">
        <v>35248.2</v>
      </c>
      <c r="J19" s="74">
        <v>35248.2</v>
      </c>
      <c r="K19" s="74">
        <v>35248.2</v>
      </c>
      <c r="L19" s="74">
        <v>35248.2</v>
      </c>
      <c r="M19" s="74">
        <v>35248.2</v>
      </c>
      <c r="N19" s="74">
        <v>35248.2</v>
      </c>
      <c r="O19" s="74">
        <v>35248.2</v>
      </c>
      <c r="P19" s="74">
        <v>35248.2</v>
      </c>
      <c r="Q19" s="74">
        <v>35248.2</v>
      </c>
      <c r="R19" s="74">
        <v>35248.2</v>
      </c>
      <c r="S19" s="74">
        <v>35248.2</v>
      </c>
      <c r="T19" s="74">
        <v>35248.2</v>
      </c>
      <c r="U19" s="74">
        <v>35248.2</v>
      </c>
      <c r="V19" s="74">
        <v>35248.2</v>
      </c>
      <c r="W19" s="74">
        <v>35248.2</v>
      </c>
      <c r="X19" s="74">
        <v>35248.2</v>
      </c>
      <c r="Y19" s="74">
        <v>35248.2</v>
      </c>
      <c r="Z19" s="74">
        <v>35248.2</v>
      </c>
      <c r="AA19" s="74">
        <v>35248.2</v>
      </c>
      <c r="AB19" s="74">
        <v>35248.2</v>
      </c>
      <c r="AC19" s="74">
        <v>35248.2</v>
      </c>
      <c r="AD19" s="74">
        <v>35248.2</v>
      </c>
      <c r="AE19" s="74">
        <v>35248.2</v>
      </c>
      <c r="AF19" s="74">
        <v>35248.2</v>
      </c>
      <c r="AG19" s="74">
        <v>35248.2</v>
      </c>
      <c r="AH19" s="129">
        <f t="shared" si="7"/>
        <v>916453.2</v>
      </c>
    </row>
    <row r="20" ht="15.75" customHeight="1">
      <c r="A20" s="125" t="str">
        <f>Inbound!A9</f>
        <v>Fressie Orange/C-power PET</v>
      </c>
      <c r="B20" s="126">
        <f>Inbound!B25</f>
        <v>18454</v>
      </c>
      <c r="C20" s="75">
        <f>Mixing!C18</f>
        <v>5</v>
      </c>
      <c r="D20" s="88">
        <f t="shared" si="4"/>
        <v>26</v>
      </c>
      <c r="E20" s="74">
        <f t="shared" si="5"/>
        <v>18454</v>
      </c>
      <c r="F20" s="88">
        <v>0.3</v>
      </c>
      <c r="G20" s="74">
        <f t="shared" si="6"/>
        <v>5536.2</v>
      </c>
      <c r="H20" s="74">
        <v>5536.2</v>
      </c>
      <c r="I20" s="74">
        <v>5536.2</v>
      </c>
      <c r="J20" s="74">
        <v>5536.2</v>
      </c>
      <c r="K20" s="74">
        <v>5536.2</v>
      </c>
      <c r="L20" s="74">
        <v>5536.2</v>
      </c>
      <c r="M20" s="74">
        <v>5536.2</v>
      </c>
      <c r="N20" s="74">
        <v>5536.2</v>
      </c>
      <c r="O20" s="74">
        <v>5536.2</v>
      </c>
      <c r="P20" s="74">
        <v>5536.2</v>
      </c>
      <c r="Q20" s="74">
        <v>5536.2</v>
      </c>
      <c r="R20" s="74">
        <v>5536.2</v>
      </c>
      <c r="S20" s="74">
        <v>5536.2</v>
      </c>
      <c r="T20" s="74">
        <v>5536.2</v>
      </c>
      <c r="U20" s="74">
        <v>5536.2</v>
      </c>
      <c r="V20" s="74">
        <v>5536.2</v>
      </c>
      <c r="W20" s="74">
        <v>5536.2</v>
      </c>
      <c r="X20" s="74">
        <v>5536.2</v>
      </c>
      <c r="Y20" s="74">
        <v>5536.2</v>
      </c>
      <c r="Z20" s="74">
        <v>5536.2</v>
      </c>
      <c r="AA20" s="74">
        <v>5536.2</v>
      </c>
      <c r="AB20" s="74">
        <v>5536.2</v>
      </c>
      <c r="AC20" s="74">
        <v>5536.2</v>
      </c>
      <c r="AD20" s="74">
        <v>5536.2</v>
      </c>
      <c r="AE20" s="74">
        <v>5536.2</v>
      </c>
      <c r="AF20" s="74">
        <v>5536.2</v>
      </c>
      <c r="AG20" s="74">
        <v>5536.2</v>
      </c>
      <c r="AH20" s="129">
        <f t="shared" si="7"/>
        <v>143941.2</v>
      </c>
    </row>
    <row r="21" ht="15.75" customHeight="1">
      <c r="A21" s="125" t="str">
        <f>Inbound!A10</f>
        <v>Fressie Orange/Mango PET</v>
      </c>
      <c r="B21" s="126">
        <f>Inbound!B26</f>
        <v>52057</v>
      </c>
      <c r="C21" s="75">
        <f>Mixing!C19</f>
        <v>5</v>
      </c>
      <c r="D21" s="88">
        <f t="shared" si="4"/>
        <v>26</v>
      </c>
      <c r="E21" s="74">
        <f t="shared" si="5"/>
        <v>52057</v>
      </c>
      <c r="F21" s="88">
        <v>0.3</v>
      </c>
      <c r="G21" s="74">
        <f t="shared" si="6"/>
        <v>15617.1</v>
      </c>
      <c r="H21" s="74">
        <v>15617.099999999999</v>
      </c>
      <c r="I21" s="74">
        <v>15617.099999999999</v>
      </c>
      <c r="J21" s="74">
        <v>15617.099999999999</v>
      </c>
      <c r="K21" s="74">
        <v>15617.099999999999</v>
      </c>
      <c r="L21" s="74">
        <v>15617.099999999999</v>
      </c>
      <c r="M21" s="74">
        <v>15617.099999999999</v>
      </c>
      <c r="N21" s="74">
        <v>15617.099999999999</v>
      </c>
      <c r="O21" s="74">
        <v>15617.099999999999</v>
      </c>
      <c r="P21" s="74">
        <v>15617.099999999999</v>
      </c>
      <c r="Q21" s="74">
        <v>15617.099999999999</v>
      </c>
      <c r="R21" s="74">
        <v>15617.099999999999</v>
      </c>
      <c r="S21" s="74">
        <v>15617.099999999999</v>
      </c>
      <c r="T21" s="74">
        <v>15617.099999999999</v>
      </c>
      <c r="U21" s="74">
        <v>15617.099999999999</v>
      </c>
      <c r="V21" s="74">
        <v>15617.099999999999</v>
      </c>
      <c r="W21" s="74">
        <v>15617.099999999999</v>
      </c>
      <c r="X21" s="74">
        <v>15617.099999999999</v>
      </c>
      <c r="Y21" s="74">
        <v>15617.099999999999</v>
      </c>
      <c r="Z21" s="74">
        <v>15617.099999999999</v>
      </c>
      <c r="AA21" s="74">
        <v>15617.099999999999</v>
      </c>
      <c r="AB21" s="74">
        <v>15617.099999999999</v>
      </c>
      <c r="AC21" s="74">
        <v>15617.099999999999</v>
      </c>
      <c r="AD21" s="74">
        <v>15617.099999999999</v>
      </c>
      <c r="AE21" s="74">
        <v>15617.099999999999</v>
      </c>
      <c r="AF21" s="74">
        <v>15617.099999999999</v>
      </c>
      <c r="AG21" s="74">
        <v>15617.099999999999</v>
      </c>
      <c r="AH21" s="129">
        <f t="shared" si="7"/>
        <v>406044.6</v>
      </c>
    </row>
    <row r="22">
      <c r="A22" s="64"/>
      <c r="B22" s="64"/>
      <c r="C22" s="64"/>
      <c r="D22" s="64"/>
      <c r="E22" s="64"/>
      <c r="F22" s="64"/>
      <c r="G22" s="130" t="s">
        <v>278</v>
      </c>
      <c r="H22" s="131">
        <f t="shared" ref="H22:AG22" si="8">$A$9*$F$9*COUNT(H16:H21)</f>
        <v>1200</v>
      </c>
      <c r="I22" s="131">
        <f t="shared" si="8"/>
        <v>1200</v>
      </c>
      <c r="J22" s="131">
        <f t="shared" si="8"/>
        <v>1200</v>
      </c>
      <c r="K22" s="131">
        <f t="shared" si="8"/>
        <v>1200</v>
      </c>
      <c r="L22" s="131">
        <f t="shared" si="8"/>
        <v>1200</v>
      </c>
      <c r="M22" s="131">
        <f t="shared" si="8"/>
        <v>1200</v>
      </c>
      <c r="N22" s="131">
        <f t="shared" si="8"/>
        <v>1200</v>
      </c>
      <c r="O22" s="131">
        <f t="shared" si="8"/>
        <v>1200</v>
      </c>
      <c r="P22" s="131">
        <f t="shared" si="8"/>
        <v>1200</v>
      </c>
      <c r="Q22" s="131">
        <f t="shared" si="8"/>
        <v>1200</v>
      </c>
      <c r="R22" s="131">
        <f t="shared" si="8"/>
        <v>1200</v>
      </c>
      <c r="S22" s="131">
        <f t="shared" si="8"/>
        <v>1200</v>
      </c>
      <c r="T22" s="131">
        <f t="shared" si="8"/>
        <v>1200</v>
      </c>
      <c r="U22" s="131">
        <f t="shared" si="8"/>
        <v>1200</v>
      </c>
      <c r="V22" s="131">
        <f t="shared" si="8"/>
        <v>1200</v>
      </c>
      <c r="W22" s="131">
        <f t="shared" si="8"/>
        <v>1200</v>
      </c>
      <c r="X22" s="131">
        <f t="shared" si="8"/>
        <v>1200</v>
      </c>
      <c r="Y22" s="131">
        <f t="shared" si="8"/>
        <v>1200</v>
      </c>
      <c r="Z22" s="131">
        <f t="shared" si="8"/>
        <v>1200</v>
      </c>
      <c r="AA22" s="131">
        <f t="shared" si="8"/>
        <v>1200</v>
      </c>
      <c r="AB22" s="131">
        <f t="shared" si="8"/>
        <v>1200</v>
      </c>
      <c r="AC22" s="131">
        <f t="shared" si="8"/>
        <v>1200</v>
      </c>
      <c r="AD22" s="131">
        <f t="shared" si="8"/>
        <v>1200</v>
      </c>
      <c r="AE22" s="131">
        <f t="shared" si="8"/>
        <v>1200</v>
      </c>
      <c r="AF22" s="131">
        <f t="shared" si="8"/>
        <v>1200</v>
      </c>
      <c r="AG22" s="131">
        <f t="shared" si="8"/>
        <v>1200</v>
      </c>
      <c r="AH22" s="132">
        <f t="shared" si="7"/>
        <v>31200</v>
      </c>
    </row>
    <row r="23">
      <c r="A23" s="64"/>
      <c r="B23" s="64"/>
      <c r="C23" s="64"/>
      <c r="D23" s="64"/>
      <c r="E23" s="64"/>
      <c r="F23" s="64"/>
      <c r="G23" s="133"/>
      <c r="H23" s="64"/>
      <c r="I23" s="64"/>
      <c r="J23" s="64"/>
      <c r="K23" s="64"/>
      <c r="L23" s="64"/>
      <c r="M23" s="64"/>
      <c r="N23" s="64"/>
      <c r="O23" s="64"/>
      <c r="P23" s="64"/>
      <c r="Q23" s="64"/>
      <c r="R23" s="64"/>
      <c r="S23" s="64"/>
      <c r="T23" s="64"/>
      <c r="U23" s="64"/>
      <c r="V23" s="64"/>
      <c r="W23" s="64"/>
      <c r="X23" s="64"/>
      <c r="Y23" s="64"/>
      <c r="Z23" s="64"/>
      <c r="AA23" s="64"/>
      <c r="AB23" s="64"/>
      <c r="AC23" s="64"/>
      <c r="AD23" s="64"/>
      <c r="AE23" s="64"/>
      <c r="AF23" s="64"/>
      <c r="AG23" s="64"/>
      <c r="AH23" s="134"/>
    </row>
    <row r="24">
      <c r="A24" s="64"/>
      <c r="B24" s="64"/>
      <c r="C24" s="64"/>
      <c r="D24" s="64"/>
      <c r="E24" s="64"/>
      <c r="F24" s="64"/>
      <c r="G24" s="135" t="s">
        <v>279</v>
      </c>
      <c r="H24" s="136">
        <f t="shared" ref="H24:AH24" si="9">SUM(H16:H22)</f>
        <v>180272.5</v>
      </c>
      <c r="I24" s="136">
        <f t="shared" si="9"/>
        <v>180272.5</v>
      </c>
      <c r="J24" s="136">
        <f t="shared" si="9"/>
        <v>180272.5</v>
      </c>
      <c r="K24" s="136">
        <f t="shared" si="9"/>
        <v>180272.5</v>
      </c>
      <c r="L24" s="136">
        <f t="shared" si="9"/>
        <v>180272.5</v>
      </c>
      <c r="M24" s="136">
        <f t="shared" si="9"/>
        <v>180272.5</v>
      </c>
      <c r="N24" s="136">
        <f t="shared" si="9"/>
        <v>180272.5</v>
      </c>
      <c r="O24" s="136">
        <f t="shared" si="9"/>
        <v>180272.5</v>
      </c>
      <c r="P24" s="136">
        <f t="shared" si="9"/>
        <v>180272.5</v>
      </c>
      <c r="Q24" s="136">
        <f t="shared" si="9"/>
        <v>180272.5</v>
      </c>
      <c r="R24" s="136">
        <f t="shared" si="9"/>
        <v>180272.5</v>
      </c>
      <c r="S24" s="136">
        <f t="shared" si="9"/>
        <v>180272.5</v>
      </c>
      <c r="T24" s="136">
        <f t="shared" si="9"/>
        <v>180272.5</v>
      </c>
      <c r="U24" s="136">
        <f t="shared" si="9"/>
        <v>180272.5</v>
      </c>
      <c r="V24" s="136">
        <f t="shared" si="9"/>
        <v>180272.5</v>
      </c>
      <c r="W24" s="136">
        <f t="shared" si="9"/>
        <v>180272.5</v>
      </c>
      <c r="X24" s="136">
        <f t="shared" si="9"/>
        <v>180272.5</v>
      </c>
      <c r="Y24" s="136">
        <f t="shared" si="9"/>
        <v>180272.5</v>
      </c>
      <c r="Z24" s="136">
        <f t="shared" si="9"/>
        <v>180272.5</v>
      </c>
      <c r="AA24" s="136">
        <f t="shared" si="9"/>
        <v>180272.5</v>
      </c>
      <c r="AB24" s="136">
        <f t="shared" si="9"/>
        <v>180272.5</v>
      </c>
      <c r="AC24" s="136">
        <f t="shared" si="9"/>
        <v>180272.5</v>
      </c>
      <c r="AD24" s="136">
        <f t="shared" si="9"/>
        <v>180272.5</v>
      </c>
      <c r="AE24" s="136">
        <f t="shared" si="9"/>
        <v>180272.5</v>
      </c>
      <c r="AF24" s="136">
        <f t="shared" si="9"/>
        <v>180272.5</v>
      </c>
      <c r="AG24" s="136">
        <f t="shared" si="9"/>
        <v>180272.5</v>
      </c>
      <c r="AH24" s="137">
        <f t="shared" si="9"/>
        <v>4687085</v>
      </c>
    </row>
    <row r="25">
      <c r="A25" s="64"/>
      <c r="B25" s="64"/>
      <c r="C25" s="64"/>
      <c r="D25" s="64"/>
      <c r="E25" s="64"/>
      <c r="F25" s="64"/>
      <c r="G25" s="138" t="s">
        <v>280</v>
      </c>
      <c r="H25" s="82">
        <f>G9</f>
        <v>250250</v>
      </c>
      <c r="I25" s="82">
        <f t="shared" ref="I25:AG25" si="10">H25</f>
        <v>250250</v>
      </c>
      <c r="J25" s="82">
        <f t="shared" si="10"/>
        <v>250250</v>
      </c>
      <c r="K25" s="82">
        <f t="shared" si="10"/>
        <v>250250</v>
      </c>
      <c r="L25" s="82">
        <f t="shared" si="10"/>
        <v>250250</v>
      </c>
      <c r="M25" s="82">
        <f t="shared" si="10"/>
        <v>250250</v>
      </c>
      <c r="N25" s="82">
        <f t="shared" si="10"/>
        <v>250250</v>
      </c>
      <c r="O25" s="82">
        <f t="shared" si="10"/>
        <v>250250</v>
      </c>
      <c r="P25" s="82">
        <f t="shared" si="10"/>
        <v>250250</v>
      </c>
      <c r="Q25" s="82">
        <f t="shared" si="10"/>
        <v>250250</v>
      </c>
      <c r="R25" s="82">
        <f t="shared" si="10"/>
        <v>250250</v>
      </c>
      <c r="S25" s="82">
        <f t="shared" si="10"/>
        <v>250250</v>
      </c>
      <c r="T25" s="82">
        <f t="shared" si="10"/>
        <v>250250</v>
      </c>
      <c r="U25" s="82">
        <f t="shared" si="10"/>
        <v>250250</v>
      </c>
      <c r="V25" s="82">
        <f t="shared" si="10"/>
        <v>250250</v>
      </c>
      <c r="W25" s="82">
        <f t="shared" si="10"/>
        <v>250250</v>
      </c>
      <c r="X25" s="82">
        <f t="shared" si="10"/>
        <v>250250</v>
      </c>
      <c r="Y25" s="82">
        <f t="shared" si="10"/>
        <v>250250</v>
      </c>
      <c r="Z25" s="82">
        <f t="shared" si="10"/>
        <v>250250</v>
      </c>
      <c r="AA25" s="82">
        <f t="shared" si="10"/>
        <v>250250</v>
      </c>
      <c r="AB25" s="82">
        <f t="shared" si="10"/>
        <v>250250</v>
      </c>
      <c r="AC25" s="82">
        <f t="shared" si="10"/>
        <v>250250</v>
      </c>
      <c r="AD25" s="82">
        <f t="shared" si="10"/>
        <v>250250</v>
      </c>
      <c r="AE25" s="82">
        <f t="shared" si="10"/>
        <v>250250</v>
      </c>
      <c r="AF25" s="82">
        <f t="shared" si="10"/>
        <v>250250</v>
      </c>
      <c r="AG25" s="82">
        <f t="shared" si="10"/>
        <v>250250</v>
      </c>
      <c r="AH25" s="139">
        <f t="shared" ref="AH25:AH26" si="12">SUM(H25:AG25)</f>
        <v>6506500</v>
      </c>
    </row>
    <row r="26">
      <c r="A26" s="64"/>
      <c r="B26" s="64"/>
      <c r="C26" s="64"/>
      <c r="D26" s="64"/>
      <c r="E26" s="64"/>
      <c r="F26" s="64"/>
      <c r="G26" s="140" t="s">
        <v>252</v>
      </c>
      <c r="H26" s="141">
        <f t="shared" ref="H26:AG26" si="11">H25-H24</f>
        <v>69977.5</v>
      </c>
      <c r="I26" s="141">
        <f t="shared" si="11"/>
        <v>69977.5</v>
      </c>
      <c r="J26" s="141">
        <f t="shared" si="11"/>
        <v>69977.5</v>
      </c>
      <c r="K26" s="141">
        <f t="shared" si="11"/>
        <v>69977.5</v>
      </c>
      <c r="L26" s="141">
        <f t="shared" si="11"/>
        <v>69977.5</v>
      </c>
      <c r="M26" s="141">
        <f t="shared" si="11"/>
        <v>69977.5</v>
      </c>
      <c r="N26" s="141">
        <f t="shared" si="11"/>
        <v>69977.5</v>
      </c>
      <c r="O26" s="141">
        <f t="shared" si="11"/>
        <v>69977.5</v>
      </c>
      <c r="P26" s="141">
        <f t="shared" si="11"/>
        <v>69977.5</v>
      </c>
      <c r="Q26" s="141">
        <f t="shared" si="11"/>
        <v>69977.5</v>
      </c>
      <c r="R26" s="141">
        <f t="shared" si="11"/>
        <v>69977.5</v>
      </c>
      <c r="S26" s="141">
        <f t="shared" si="11"/>
        <v>69977.5</v>
      </c>
      <c r="T26" s="141">
        <f t="shared" si="11"/>
        <v>69977.5</v>
      </c>
      <c r="U26" s="141">
        <f t="shared" si="11"/>
        <v>69977.5</v>
      </c>
      <c r="V26" s="141">
        <f t="shared" si="11"/>
        <v>69977.5</v>
      </c>
      <c r="W26" s="141">
        <f t="shared" si="11"/>
        <v>69977.5</v>
      </c>
      <c r="X26" s="141">
        <f t="shared" si="11"/>
        <v>69977.5</v>
      </c>
      <c r="Y26" s="141">
        <f t="shared" si="11"/>
        <v>69977.5</v>
      </c>
      <c r="Z26" s="141">
        <f t="shared" si="11"/>
        <v>69977.5</v>
      </c>
      <c r="AA26" s="141">
        <f t="shared" si="11"/>
        <v>69977.5</v>
      </c>
      <c r="AB26" s="141">
        <f t="shared" si="11"/>
        <v>69977.5</v>
      </c>
      <c r="AC26" s="141">
        <f t="shared" si="11"/>
        <v>69977.5</v>
      </c>
      <c r="AD26" s="141">
        <f t="shared" si="11"/>
        <v>69977.5</v>
      </c>
      <c r="AE26" s="141">
        <f t="shared" si="11"/>
        <v>69977.5</v>
      </c>
      <c r="AF26" s="141">
        <f t="shared" si="11"/>
        <v>69977.5</v>
      </c>
      <c r="AG26" s="141">
        <f t="shared" si="11"/>
        <v>69977.5</v>
      </c>
      <c r="AH26" s="142">
        <f t="shared" si="12"/>
        <v>1819415</v>
      </c>
    </row>
    <row r="27">
      <c r="A27" s="64"/>
      <c r="B27" s="64"/>
      <c r="C27" s="64"/>
      <c r="D27" s="64"/>
      <c r="E27" s="64"/>
      <c r="F27" s="64"/>
      <c r="G27" s="143" t="s">
        <v>281</v>
      </c>
      <c r="H27" s="144">
        <f t="shared" ref="H27:AH27" si="13">H24/H25</f>
        <v>0.7203696304</v>
      </c>
      <c r="I27" s="144">
        <f t="shared" si="13"/>
        <v>0.7203696304</v>
      </c>
      <c r="J27" s="144">
        <f t="shared" si="13"/>
        <v>0.7203696304</v>
      </c>
      <c r="K27" s="144">
        <f t="shared" si="13"/>
        <v>0.7203696304</v>
      </c>
      <c r="L27" s="144">
        <f t="shared" si="13"/>
        <v>0.7203696304</v>
      </c>
      <c r="M27" s="144">
        <f t="shared" si="13"/>
        <v>0.7203696304</v>
      </c>
      <c r="N27" s="144">
        <f t="shared" si="13"/>
        <v>0.7203696304</v>
      </c>
      <c r="O27" s="144">
        <f t="shared" si="13"/>
        <v>0.7203696304</v>
      </c>
      <c r="P27" s="144">
        <f t="shared" si="13"/>
        <v>0.7203696304</v>
      </c>
      <c r="Q27" s="144">
        <f t="shared" si="13"/>
        <v>0.7203696304</v>
      </c>
      <c r="R27" s="144">
        <f t="shared" si="13"/>
        <v>0.7203696304</v>
      </c>
      <c r="S27" s="144">
        <f t="shared" si="13"/>
        <v>0.7203696304</v>
      </c>
      <c r="T27" s="144">
        <f t="shared" si="13"/>
        <v>0.7203696304</v>
      </c>
      <c r="U27" s="144">
        <f t="shared" si="13"/>
        <v>0.7203696304</v>
      </c>
      <c r="V27" s="144">
        <f t="shared" si="13"/>
        <v>0.7203696304</v>
      </c>
      <c r="W27" s="144">
        <f t="shared" si="13"/>
        <v>0.7203696304</v>
      </c>
      <c r="X27" s="144">
        <f t="shared" si="13"/>
        <v>0.7203696304</v>
      </c>
      <c r="Y27" s="144">
        <f t="shared" si="13"/>
        <v>0.7203696304</v>
      </c>
      <c r="Z27" s="144">
        <f t="shared" si="13"/>
        <v>0.7203696304</v>
      </c>
      <c r="AA27" s="144">
        <f t="shared" si="13"/>
        <v>0.7203696304</v>
      </c>
      <c r="AB27" s="144">
        <f t="shared" si="13"/>
        <v>0.7203696304</v>
      </c>
      <c r="AC27" s="144">
        <f t="shared" si="13"/>
        <v>0.7203696304</v>
      </c>
      <c r="AD27" s="144">
        <f t="shared" si="13"/>
        <v>0.7203696304</v>
      </c>
      <c r="AE27" s="144">
        <f t="shared" si="13"/>
        <v>0.7203696304</v>
      </c>
      <c r="AF27" s="144">
        <f t="shared" si="13"/>
        <v>0.7203696304</v>
      </c>
      <c r="AG27" s="144">
        <f t="shared" si="13"/>
        <v>0.7203696304</v>
      </c>
      <c r="AH27" s="145">
        <f t="shared" si="13"/>
        <v>0.7203696304</v>
      </c>
    </row>
    <row r="28">
      <c r="A28" s="64"/>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64"/>
      <c r="AB28" s="64"/>
      <c r="AC28" s="64"/>
      <c r="AD28" s="64"/>
      <c r="AE28" s="64"/>
      <c r="AF28" s="64"/>
      <c r="AG28" s="64"/>
      <c r="AH28" s="64"/>
    </row>
    <row r="29">
      <c r="A29" s="64"/>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64"/>
      <c r="AB29" s="64"/>
      <c r="AC29" s="64"/>
      <c r="AD29" s="64"/>
      <c r="AE29" s="64"/>
      <c r="AF29" s="64"/>
      <c r="AG29" s="64"/>
      <c r="AH29" s="64"/>
    </row>
    <row r="30">
      <c r="A30" s="64"/>
      <c r="B30" s="64"/>
      <c r="C30" s="64"/>
      <c r="D30" s="64"/>
      <c r="E30" s="64"/>
      <c r="F30" s="64"/>
      <c r="G30" s="64"/>
      <c r="H30" s="64"/>
      <c r="I30" s="64"/>
      <c r="J30" s="64"/>
      <c r="K30" s="64"/>
      <c r="L30" s="64"/>
      <c r="M30" s="64"/>
      <c r="N30" s="64"/>
      <c r="O30" s="64"/>
      <c r="P30" s="64"/>
      <c r="Q30" s="64"/>
      <c r="R30" s="64"/>
      <c r="S30" s="64"/>
      <c r="T30" s="64"/>
      <c r="U30" s="64"/>
      <c r="V30" s="64"/>
      <c r="W30" s="64"/>
      <c r="X30" s="64"/>
      <c r="Y30" s="64"/>
      <c r="Z30" s="64"/>
      <c r="AA30" s="64"/>
      <c r="AB30" s="64"/>
      <c r="AC30" s="64"/>
      <c r="AD30" s="64"/>
      <c r="AE30" s="64"/>
      <c r="AF30" s="64"/>
      <c r="AG30" s="64"/>
      <c r="AH30" s="64"/>
    </row>
    <row r="31">
      <c r="A31" s="64"/>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c r="AB31" s="64"/>
      <c r="AC31" s="64"/>
      <c r="AD31" s="64"/>
      <c r="AE31" s="64"/>
      <c r="AF31" s="64"/>
      <c r="AG31" s="64"/>
      <c r="AH31" s="64"/>
    </row>
    <row r="32">
      <c r="A32" s="64"/>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c r="AB32" s="64"/>
      <c r="AC32" s="64"/>
      <c r="AD32" s="64"/>
      <c r="AE32" s="64"/>
      <c r="AF32" s="64"/>
      <c r="AG32" s="64"/>
      <c r="AH32" s="64"/>
    </row>
    <row r="33">
      <c r="A33" s="64"/>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64"/>
      <c r="AC33" s="64"/>
      <c r="AD33" s="64"/>
      <c r="AE33" s="64"/>
      <c r="AF33" s="64"/>
      <c r="AG33" s="64"/>
      <c r="AH33" s="64"/>
    </row>
    <row r="34">
      <c r="A34" s="64"/>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64"/>
      <c r="AC34" s="64"/>
      <c r="AD34" s="64"/>
      <c r="AE34" s="64"/>
      <c r="AF34" s="64"/>
      <c r="AG34" s="64"/>
      <c r="AH34" s="64"/>
    </row>
    <row r="35">
      <c r="A35" s="64"/>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64"/>
      <c r="AC35" s="64"/>
      <c r="AD35" s="64"/>
      <c r="AE35" s="64"/>
      <c r="AF35" s="64"/>
      <c r="AG35" s="64"/>
      <c r="AH35" s="64"/>
    </row>
    <row r="36">
      <c r="A36" s="64"/>
      <c r="B36" s="64"/>
      <c r="C36" s="64"/>
      <c r="D36" s="64"/>
      <c r="E36" s="64"/>
      <c r="F36" s="64"/>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row>
    <row r="37">
      <c r="A37" s="64"/>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64"/>
      <c r="AC37" s="64"/>
      <c r="AD37" s="64"/>
      <c r="AE37" s="64"/>
      <c r="AF37" s="64"/>
      <c r="AG37" s="64"/>
      <c r="AH37" s="64"/>
    </row>
    <row r="38">
      <c r="A38" s="64"/>
      <c r="B38" s="64"/>
      <c r="C38" s="64"/>
      <c r="D38" s="64"/>
      <c r="E38" s="64"/>
      <c r="F38" s="64"/>
      <c r="G38" s="64"/>
      <c r="H38" s="64"/>
      <c r="I38" s="64"/>
      <c r="J38" s="64"/>
      <c r="K38" s="64"/>
      <c r="L38" s="64"/>
      <c r="M38" s="64"/>
      <c r="N38" s="64"/>
      <c r="O38" s="64"/>
      <c r="P38" s="64"/>
      <c r="Q38" s="64"/>
      <c r="R38" s="64"/>
      <c r="S38" s="64"/>
      <c r="T38" s="64"/>
      <c r="U38" s="64"/>
      <c r="V38" s="64"/>
      <c r="W38" s="64"/>
      <c r="X38" s="64"/>
      <c r="Y38" s="64"/>
      <c r="Z38" s="64"/>
      <c r="AA38" s="64"/>
      <c r="AB38" s="64"/>
      <c r="AC38" s="64"/>
      <c r="AD38" s="64"/>
      <c r="AE38" s="64"/>
      <c r="AF38" s="64"/>
      <c r="AG38" s="64"/>
      <c r="AH38" s="64"/>
    </row>
    <row r="39">
      <c r="A39" s="64"/>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64"/>
      <c r="AB39" s="64"/>
      <c r="AC39" s="64"/>
      <c r="AD39" s="64"/>
      <c r="AE39" s="64"/>
      <c r="AF39" s="64"/>
      <c r="AG39" s="64"/>
      <c r="AH39" s="64"/>
    </row>
    <row r="40">
      <c r="A40" s="64"/>
      <c r="B40" s="64"/>
      <c r="C40" s="64"/>
      <c r="D40" s="64"/>
      <c r="E40" s="64"/>
      <c r="F40" s="64"/>
      <c r="G40" s="64"/>
      <c r="H40" s="64"/>
      <c r="I40" s="64"/>
      <c r="J40" s="64"/>
      <c r="K40" s="64"/>
      <c r="L40" s="64"/>
      <c r="M40" s="64"/>
      <c r="N40" s="64"/>
      <c r="O40" s="64"/>
      <c r="P40" s="64"/>
      <c r="Q40" s="64"/>
      <c r="R40" s="64"/>
      <c r="S40" s="64"/>
      <c r="T40" s="64"/>
      <c r="U40" s="64"/>
      <c r="V40" s="64"/>
      <c r="W40" s="64"/>
      <c r="X40" s="64"/>
      <c r="Y40" s="64"/>
      <c r="Z40" s="64"/>
      <c r="AA40" s="64"/>
      <c r="AB40" s="64"/>
      <c r="AC40" s="64"/>
      <c r="AD40" s="64"/>
      <c r="AE40" s="64"/>
      <c r="AF40" s="64"/>
      <c r="AG40" s="64"/>
      <c r="AH40" s="64"/>
    </row>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3">
    <mergeCell ref="A1:H1"/>
    <mergeCell ref="A12:B12"/>
    <mergeCell ref="H14:AH14"/>
  </mergeCells>
  <conditionalFormatting sqref="A1:H40 I1:AI13 I15:AH40">
    <cfRule type="containsBlanks" dxfId="1" priority="1">
      <formula>LEN(TRIM(A1))=0</formula>
    </cfRule>
  </conditionalFormatting>
  <dataValidations>
    <dataValidation type="list" allowBlank="1" sqref="B5">
      <formula1>"1,2,3,4,5"</formula1>
    </dataValidation>
    <dataValidation type="list" allowBlank="1" sqref="B4">
      <formula1>"Swiss fill 1,Top speed 1,Multi Flex 1"</formula1>
    </dataValidation>
    <dataValidation type="list" allowBlank="1" sqref="B6 B13">
      <formula1>"Yes,No"</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75"/>
  <cols>
    <col customWidth="1" min="1" max="1" width="30.5"/>
    <col customWidth="1" min="2" max="2" width="16.38"/>
    <col customWidth="1" min="3" max="3" width="17.5"/>
    <col customWidth="1" min="4" max="4" width="14.88"/>
    <col customWidth="1" min="5" max="5" width="16.63"/>
    <col customWidth="1" min="6" max="7" width="14.88"/>
    <col customWidth="1" min="8" max="8" width="14.5"/>
    <col customWidth="1" min="9" max="9" width="17.5"/>
    <col customWidth="1" min="10" max="10" width="15.38"/>
    <col customWidth="1" min="11" max="11" width="16.63"/>
    <col customWidth="1" min="12" max="12" width="16.38"/>
    <col customWidth="1" min="13" max="26" width="14.5"/>
  </cols>
  <sheetData>
    <row r="1" ht="30.75" customHeight="1">
      <c r="A1" s="160" t="s">
        <v>282</v>
      </c>
      <c r="B1" s="27"/>
      <c r="C1" s="27"/>
      <c r="D1" s="27"/>
      <c r="E1" s="27"/>
      <c r="F1" s="27"/>
      <c r="G1" s="27"/>
      <c r="H1" s="27"/>
      <c r="I1" s="27"/>
      <c r="J1" s="27"/>
      <c r="K1" s="27"/>
      <c r="L1" s="28"/>
    </row>
    <row r="2">
      <c r="A2" s="63" t="s">
        <v>143</v>
      </c>
    </row>
    <row r="3">
      <c r="A3" s="64"/>
      <c r="B3" s="64"/>
      <c r="C3" s="64"/>
      <c r="D3" s="64"/>
      <c r="E3" s="64"/>
      <c r="F3" s="64"/>
      <c r="G3" s="64"/>
      <c r="H3" s="64"/>
      <c r="I3" s="64"/>
      <c r="J3" s="64"/>
      <c r="K3" s="64"/>
      <c r="L3" s="64"/>
    </row>
    <row r="4" ht="46.5" customHeight="1">
      <c r="A4" s="67" t="s">
        <v>72</v>
      </c>
      <c r="B4" s="67" t="s">
        <v>283</v>
      </c>
      <c r="C4" s="67" t="s">
        <v>148</v>
      </c>
      <c r="D4" s="67" t="s">
        <v>284</v>
      </c>
      <c r="E4" s="68" t="s">
        <v>285</v>
      </c>
      <c r="F4" s="67" t="s">
        <v>152</v>
      </c>
      <c r="G4" s="67" t="s">
        <v>286</v>
      </c>
      <c r="H4" s="67" t="s">
        <v>287</v>
      </c>
      <c r="I4" s="67" t="s">
        <v>82</v>
      </c>
      <c r="J4" s="67" t="s">
        <v>159</v>
      </c>
      <c r="K4" s="64"/>
      <c r="L4" s="64"/>
    </row>
    <row r="5" ht="15.75" customHeight="1">
      <c r="A5" s="69" t="s">
        <v>95</v>
      </c>
      <c r="B5" s="70">
        <f>Inbound!B21</f>
        <v>68429</v>
      </c>
      <c r="C5" s="75">
        <v>2.5</v>
      </c>
      <c r="D5" s="75">
        <f>Mixing!C14</f>
        <v>5</v>
      </c>
      <c r="E5" s="161">
        <v>0.125</v>
      </c>
      <c r="F5" s="74">
        <f t="shared" ref="F5:F10" si="1">B5*C5</f>
        <v>171072.5</v>
      </c>
      <c r="G5" s="74">
        <f t="shared" ref="G5:G10" si="2">B5*D5/5</f>
        <v>68429</v>
      </c>
      <c r="H5" s="74">
        <f t="shared" ref="H5:H10" si="3">F5+G5/2</f>
        <v>205287</v>
      </c>
      <c r="I5" s="88">
        <f>BOM!N4</f>
        <v>600</v>
      </c>
      <c r="J5" s="162">
        <f t="shared" ref="J5:J10" si="4">H5/I5</f>
        <v>342.145</v>
      </c>
      <c r="K5" s="64"/>
      <c r="L5" s="64"/>
    </row>
    <row r="6" ht="15.75" customHeight="1">
      <c r="A6" s="69" t="s">
        <v>98</v>
      </c>
      <c r="B6" s="70">
        <f>Inbound!B22</f>
        <v>11385</v>
      </c>
      <c r="C6" s="73">
        <v>3.0</v>
      </c>
      <c r="D6" s="75">
        <f>Mixing!C15</f>
        <v>5</v>
      </c>
      <c r="E6" s="161">
        <v>0.128</v>
      </c>
      <c r="F6" s="74">
        <f t="shared" si="1"/>
        <v>34155</v>
      </c>
      <c r="G6" s="74">
        <f t="shared" si="2"/>
        <v>11385</v>
      </c>
      <c r="H6" s="74">
        <f t="shared" si="3"/>
        <v>39847.5</v>
      </c>
      <c r="I6" s="88">
        <f>BOM!N5</f>
        <v>600</v>
      </c>
      <c r="J6" s="162">
        <f t="shared" si="4"/>
        <v>66.4125</v>
      </c>
      <c r="K6" s="64"/>
      <c r="L6" s="64"/>
    </row>
    <row r="7" ht="15.75" customHeight="1">
      <c r="A7" s="69" t="s">
        <v>101</v>
      </c>
      <c r="B7" s="70">
        <f>Inbound!B23</f>
        <v>42857</v>
      </c>
      <c r="C7" s="75">
        <v>2.0</v>
      </c>
      <c r="D7" s="75">
        <f>Mixing!C16</f>
        <v>5</v>
      </c>
      <c r="E7" s="161">
        <v>0.056</v>
      </c>
      <c r="F7" s="74">
        <f t="shared" si="1"/>
        <v>85714</v>
      </c>
      <c r="G7" s="74">
        <f t="shared" si="2"/>
        <v>42857</v>
      </c>
      <c r="H7" s="74">
        <f t="shared" si="3"/>
        <v>107142.5</v>
      </c>
      <c r="I7" s="88">
        <f>BOM!N6</f>
        <v>600</v>
      </c>
      <c r="J7" s="162">
        <f t="shared" si="4"/>
        <v>178.5708333</v>
      </c>
      <c r="K7" s="64"/>
      <c r="L7" s="64"/>
    </row>
    <row r="8" ht="15.75" customHeight="1">
      <c r="A8" s="69" t="s">
        <v>104</v>
      </c>
      <c r="B8" s="70">
        <f>Inbound!B24</f>
        <v>117494</v>
      </c>
      <c r="C8" s="75">
        <v>2.0</v>
      </c>
      <c r="D8" s="75">
        <f>Mixing!C17</f>
        <v>5</v>
      </c>
      <c r="E8" s="161">
        <v>0.071</v>
      </c>
      <c r="F8" s="74">
        <f t="shared" si="1"/>
        <v>234988</v>
      </c>
      <c r="G8" s="74">
        <f t="shared" si="2"/>
        <v>117494</v>
      </c>
      <c r="H8" s="74">
        <f t="shared" si="3"/>
        <v>293735</v>
      </c>
      <c r="I8" s="88">
        <f>BOM!N7</f>
        <v>2880</v>
      </c>
      <c r="J8" s="162">
        <f t="shared" si="4"/>
        <v>101.9913194</v>
      </c>
      <c r="K8" s="64"/>
      <c r="L8" s="64"/>
    </row>
    <row r="9" ht="15.75" customHeight="1">
      <c r="A9" s="69" t="s">
        <v>107</v>
      </c>
      <c r="B9" s="70">
        <f>Inbound!B25</f>
        <v>18454</v>
      </c>
      <c r="C9" s="73">
        <v>2.5</v>
      </c>
      <c r="D9" s="75">
        <f>Mixing!C18</f>
        <v>5</v>
      </c>
      <c r="E9" s="161">
        <v>0.112</v>
      </c>
      <c r="F9" s="74">
        <f t="shared" si="1"/>
        <v>46135</v>
      </c>
      <c r="G9" s="74">
        <f t="shared" si="2"/>
        <v>18454</v>
      </c>
      <c r="H9" s="74">
        <f t="shared" si="3"/>
        <v>55362</v>
      </c>
      <c r="I9" s="88">
        <f>BOM!N8</f>
        <v>2880</v>
      </c>
      <c r="J9" s="162">
        <f t="shared" si="4"/>
        <v>19.22291667</v>
      </c>
      <c r="K9" s="64"/>
      <c r="L9" s="64"/>
    </row>
    <row r="10" ht="15.75" customHeight="1">
      <c r="A10" s="69" t="s">
        <v>109</v>
      </c>
      <c r="B10" s="70">
        <f>Inbound!B26</f>
        <v>52057</v>
      </c>
      <c r="C10" s="75">
        <v>2.5</v>
      </c>
      <c r="D10" s="75">
        <f>Mixing!C19</f>
        <v>5</v>
      </c>
      <c r="E10" s="161">
        <v>0.126</v>
      </c>
      <c r="F10" s="74">
        <f t="shared" si="1"/>
        <v>130142.5</v>
      </c>
      <c r="G10" s="74">
        <f t="shared" si="2"/>
        <v>52057</v>
      </c>
      <c r="H10" s="74">
        <f t="shared" si="3"/>
        <v>156171</v>
      </c>
      <c r="I10" s="88">
        <f>BOM!N9</f>
        <v>2880</v>
      </c>
      <c r="J10" s="162">
        <f t="shared" si="4"/>
        <v>54.22604167</v>
      </c>
      <c r="K10" s="64"/>
      <c r="L10" s="64"/>
    </row>
    <row r="11">
      <c r="A11" s="64"/>
      <c r="B11" s="64"/>
      <c r="C11" s="64"/>
      <c r="D11" s="64"/>
      <c r="E11" s="64"/>
      <c r="F11" s="64"/>
      <c r="G11" s="64"/>
      <c r="H11" s="64"/>
      <c r="I11" s="64"/>
      <c r="J11" s="64"/>
      <c r="K11" s="64"/>
      <c r="L11" s="64"/>
    </row>
    <row r="12">
      <c r="A12" s="64"/>
      <c r="B12" s="64"/>
      <c r="C12" s="64"/>
      <c r="D12" s="64"/>
      <c r="E12" s="64"/>
      <c r="F12" s="64"/>
      <c r="G12" s="64"/>
      <c r="H12" s="64"/>
      <c r="I12" s="64"/>
      <c r="J12" s="64"/>
      <c r="K12" s="64"/>
      <c r="L12" s="64"/>
    </row>
    <row r="13">
      <c r="A13" s="64"/>
      <c r="B13" s="65" t="s">
        <v>164</v>
      </c>
      <c r="C13" s="65" t="s">
        <v>165</v>
      </c>
      <c r="D13" s="64"/>
      <c r="E13" s="64"/>
      <c r="F13" s="64"/>
      <c r="G13" s="64"/>
      <c r="H13" s="64"/>
      <c r="I13" s="64"/>
      <c r="J13" s="64"/>
      <c r="K13" s="64"/>
      <c r="L13" s="64"/>
    </row>
    <row r="14">
      <c r="A14" s="86" t="s">
        <v>169</v>
      </c>
      <c r="B14" s="163">
        <f>SUM(J5:J10)</f>
        <v>762.5686111</v>
      </c>
      <c r="C14" s="87">
        <f>B14*1.2</f>
        <v>915.0823333</v>
      </c>
      <c r="D14" s="164"/>
      <c r="E14" s="64"/>
      <c r="F14" s="64"/>
      <c r="G14" s="64"/>
      <c r="H14" s="64"/>
      <c r="I14" s="64"/>
      <c r="J14" s="64"/>
      <c r="K14" s="64"/>
      <c r="L14" s="64"/>
    </row>
    <row r="15">
      <c r="A15" s="64"/>
      <c r="B15" s="64"/>
      <c r="C15" s="64"/>
      <c r="D15" s="64"/>
      <c r="E15" s="64"/>
      <c r="F15" s="64"/>
      <c r="G15" s="64"/>
      <c r="H15" s="64"/>
      <c r="I15" s="64"/>
      <c r="J15" s="64"/>
      <c r="K15" s="64"/>
      <c r="L15" s="64"/>
    </row>
    <row r="16">
      <c r="A16" s="64"/>
      <c r="B16" s="64"/>
      <c r="C16" s="64"/>
      <c r="D16" s="64"/>
      <c r="E16" s="64"/>
      <c r="F16" s="64"/>
      <c r="G16" s="64"/>
      <c r="H16" s="64"/>
      <c r="I16" s="64"/>
      <c r="J16" s="64"/>
      <c r="K16" s="64"/>
      <c r="L16" s="64"/>
    </row>
    <row r="17">
      <c r="A17" s="64"/>
      <c r="B17" s="107"/>
      <c r="C17" s="107"/>
      <c r="D17" s="107"/>
      <c r="E17" s="64"/>
      <c r="F17" s="64"/>
      <c r="G17" s="64"/>
      <c r="H17" s="64"/>
      <c r="I17" s="64"/>
      <c r="J17" s="64"/>
      <c r="K17" s="64"/>
      <c r="L17" s="64"/>
    </row>
    <row r="18">
      <c r="A18" s="64"/>
      <c r="B18" s="108" t="s">
        <v>197</v>
      </c>
      <c r="C18" s="108" t="s">
        <v>198</v>
      </c>
      <c r="D18" s="108" t="s">
        <v>199</v>
      </c>
      <c r="E18" s="64"/>
      <c r="F18" s="64"/>
      <c r="G18" s="64"/>
      <c r="H18" s="64"/>
      <c r="I18" s="64"/>
      <c r="J18" s="64"/>
      <c r="K18" s="64"/>
      <c r="L18" s="64"/>
    </row>
    <row r="19">
      <c r="A19" s="86" t="s">
        <v>200</v>
      </c>
      <c r="B19" s="109">
        <v>88.0</v>
      </c>
      <c r="C19" s="88">
        <v>40.0</v>
      </c>
      <c r="D19" s="88">
        <f>B19/C19</f>
        <v>2.2</v>
      </c>
      <c r="E19" s="64"/>
      <c r="F19" s="64"/>
      <c r="G19" s="64"/>
      <c r="H19" s="64"/>
      <c r="I19" s="64"/>
      <c r="J19" s="64"/>
      <c r="K19" s="64"/>
      <c r="L19" s="64"/>
    </row>
    <row r="20"/>
    <row r="21"/>
    <row r="22" ht="15.0" customHeight="1"/>
    <row r="23"/>
    <row r="24" ht="15.75" customHeight="1">
      <c r="D24" s="83"/>
      <c r="E24" s="83"/>
      <c r="F24" s="83"/>
    </row>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2">
    <mergeCell ref="A1:L1"/>
    <mergeCell ref="A2:L2"/>
  </mergeCells>
  <conditionalFormatting sqref="A1:L19">
    <cfRule type="containsBlanks" dxfId="0" priority="1">
      <formula>LEN(TRIM(A1))=0</formula>
    </cfRule>
  </conditionalFormatting>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74.0"/>
    <col customWidth="1" min="2" max="7" width="15.5"/>
    <col customWidth="1" min="8" max="8" width="20.5"/>
    <col customWidth="1" min="9" max="28" width="15.5"/>
  </cols>
  <sheetData>
    <row r="1" ht="12.75" customHeight="1">
      <c r="A1" s="67" t="s">
        <v>72</v>
      </c>
      <c r="B1" s="158" t="s">
        <v>222</v>
      </c>
      <c r="C1" s="158" t="s">
        <v>223</v>
      </c>
      <c r="D1" s="158" t="s">
        <v>224</v>
      </c>
      <c r="E1" s="158" t="s">
        <v>225</v>
      </c>
      <c r="F1" s="158" t="s">
        <v>226</v>
      </c>
      <c r="G1" s="158" t="s">
        <v>227</v>
      </c>
      <c r="H1" s="158" t="s">
        <v>228</v>
      </c>
      <c r="I1" s="158" t="s">
        <v>229</v>
      </c>
      <c r="J1" s="158" t="s">
        <v>230</v>
      </c>
      <c r="K1" s="158" t="s">
        <v>231</v>
      </c>
      <c r="L1" s="158" t="s">
        <v>232</v>
      </c>
      <c r="M1" s="158" t="s">
        <v>233</v>
      </c>
      <c r="N1" s="158" t="s">
        <v>234</v>
      </c>
      <c r="O1" s="158" t="s">
        <v>235</v>
      </c>
      <c r="P1" s="158" t="s">
        <v>236</v>
      </c>
      <c r="Q1" s="158" t="s">
        <v>237</v>
      </c>
      <c r="R1" s="158" t="s">
        <v>238</v>
      </c>
      <c r="S1" s="158" t="s">
        <v>239</v>
      </c>
      <c r="T1" s="158" t="s">
        <v>240</v>
      </c>
      <c r="U1" s="158" t="s">
        <v>241</v>
      </c>
      <c r="V1" s="158" t="s">
        <v>242</v>
      </c>
      <c r="W1" s="158" t="s">
        <v>243</v>
      </c>
      <c r="X1" s="158" t="s">
        <v>244</v>
      </c>
      <c r="Y1" s="158" t="s">
        <v>245</v>
      </c>
      <c r="Z1" s="158" t="s">
        <v>246</v>
      </c>
      <c r="AA1" s="158" t="s">
        <v>247</v>
      </c>
      <c r="AB1" s="159" t="s">
        <v>248</v>
      </c>
    </row>
    <row r="2" ht="12.75" customHeight="1">
      <c r="A2" s="165" t="s">
        <v>104</v>
      </c>
      <c r="B2" s="166">
        <v>68429.0</v>
      </c>
      <c r="C2" s="166">
        <v>68429.0</v>
      </c>
      <c r="D2" s="166">
        <v>68429.0</v>
      </c>
      <c r="E2" s="166">
        <v>68429.0</v>
      </c>
      <c r="F2" s="166">
        <v>68429.0</v>
      </c>
      <c r="G2" s="166">
        <v>68429.0</v>
      </c>
      <c r="H2" s="166">
        <v>68429.0</v>
      </c>
      <c r="I2" s="166">
        <v>68429.0</v>
      </c>
      <c r="J2" s="166">
        <v>68429.0</v>
      </c>
      <c r="K2" s="166">
        <v>68429.0</v>
      </c>
      <c r="L2" s="166">
        <v>68429.0</v>
      </c>
      <c r="M2" s="166">
        <v>68429.0</v>
      </c>
      <c r="N2" s="166">
        <v>68429.0</v>
      </c>
      <c r="O2" s="166">
        <v>68429.0</v>
      </c>
      <c r="P2" s="166">
        <v>68429.0</v>
      </c>
      <c r="Q2" s="166">
        <v>68429.0</v>
      </c>
      <c r="R2" s="166">
        <v>68429.0</v>
      </c>
      <c r="S2" s="166">
        <v>68429.0</v>
      </c>
      <c r="T2" s="166">
        <v>68429.0</v>
      </c>
      <c r="U2" s="166">
        <v>68429.0</v>
      </c>
      <c r="V2" s="166">
        <v>68429.0</v>
      </c>
      <c r="W2" s="166">
        <v>68429.0</v>
      </c>
      <c r="X2" s="166">
        <v>68429.0</v>
      </c>
      <c r="Y2" s="166">
        <v>68429.0</v>
      </c>
      <c r="Z2" s="166">
        <v>68429.0</v>
      </c>
      <c r="AA2" s="166">
        <v>68429.0</v>
      </c>
      <c r="AB2" s="167">
        <f t="shared" ref="AB2:AB7" si="1">SUM(B2:AA2)</f>
        <v>1779154</v>
      </c>
    </row>
    <row r="3" ht="12.75" customHeight="1">
      <c r="A3" s="165" t="s">
        <v>107</v>
      </c>
      <c r="B3" s="166">
        <v>11385.0</v>
      </c>
      <c r="C3" s="166">
        <v>11385.0</v>
      </c>
      <c r="D3" s="166">
        <v>11385.0</v>
      </c>
      <c r="E3" s="166">
        <v>11385.0</v>
      </c>
      <c r="F3" s="166">
        <v>11385.0</v>
      </c>
      <c r="G3" s="166">
        <v>11385.0</v>
      </c>
      <c r="H3" s="166">
        <v>11385.0</v>
      </c>
      <c r="I3" s="166">
        <v>11385.0</v>
      </c>
      <c r="J3" s="166">
        <v>11385.0</v>
      </c>
      <c r="K3" s="166">
        <v>11385.0</v>
      </c>
      <c r="L3" s="166">
        <v>11385.0</v>
      </c>
      <c r="M3" s="166">
        <v>11385.0</v>
      </c>
      <c r="N3" s="166">
        <v>11385.0</v>
      </c>
      <c r="O3" s="166">
        <v>11385.0</v>
      </c>
      <c r="P3" s="166">
        <v>11385.0</v>
      </c>
      <c r="Q3" s="166">
        <v>11385.0</v>
      </c>
      <c r="R3" s="166">
        <v>11385.0</v>
      </c>
      <c r="S3" s="166">
        <v>11385.0</v>
      </c>
      <c r="T3" s="166">
        <v>11385.0</v>
      </c>
      <c r="U3" s="166">
        <v>11385.0</v>
      </c>
      <c r="V3" s="166">
        <v>11385.0</v>
      </c>
      <c r="W3" s="166">
        <v>11385.0</v>
      </c>
      <c r="X3" s="166">
        <v>11385.0</v>
      </c>
      <c r="Y3" s="166">
        <v>11385.0</v>
      </c>
      <c r="Z3" s="166">
        <v>11385.0</v>
      </c>
      <c r="AA3" s="166">
        <v>11385.0</v>
      </c>
      <c r="AB3" s="167">
        <f t="shared" si="1"/>
        <v>296010</v>
      </c>
    </row>
    <row r="4" ht="12.75" customHeight="1">
      <c r="A4" s="165" t="s">
        <v>109</v>
      </c>
      <c r="B4" s="166">
        <v>42857.0</v>
      </c>
      <c r="C4" s="166">
        <v>42857.0</v>
      </c>
      <c r="D4" s="166">
        <v>42857.0</v>
      </c>
      <c r="E4" s="166">
        <v>42857.0</v>
      </c>
      <c r="F4" s="166">
        <v>42857.0</v>
      </c>
      <c r="G4" s="166">
        <v>42857.0</v>
      </c>
      <c r="H4" s="166">
        <v>42857.0</v>
      </c>
      <c r="I4" s="166">
        <v>42857.0</v>
      </c>
      <c r="J4" s="166">
        <v>42857.0</v>
      </c>
      <c r="K4" s="166">
        <v>42857.0</v>
      </c>
      <c r="L4" s="166">
        <v>42857.0</v>
      </c>
      <c r="M4" s="166">
        <v>42857.0</v>
      </c>
      <c r="N4" s="166">
        <v>42857.0</v>
      </c>
      <c r="O4" s="166">
        <v>42857.0</v>
      </c>
      <c r="P4" s="166">
        <v>42857.0</v>
      </c>
      <c r="Q4" s="166">
        <v>42857.0</v>
      </c>
      <c r="R4" s="166">
        <v>42857.0</v>
      </c>
      <c r="S4" s="166">
        <v>42857.0</v>
      </c>
      <c r="T4" s="166">
        <v>42857.0</v>
      </c>
      <c r="U4" s="166">
        <v>42857.0</v>
      </c>
      <c r="V4" s="166">
        <v>42857.0</v>
      </c>
      <c r="W4" s="166">
        <v>42857.0</v>
      </c>
      <c r="X4" s="166">
        <v>42857.0</v>
      </c>
      <c r="Y4" s="166">
        <v>42857.0</v>
      </c>
      <c r="Z4" s="166">
        <v>42857.0</v>
      </c>
      <c r="AA4" s="166">
        <v>42857.0</v>
      </c>
      <c r="AB4" s="167">
        <f t="shared" si="1"/>
        <v>1114282</v>
      </c>
    </row>
    <row r="5" ht="12.75" customHeight="1">
      <c r="A5" s="165" t="s">
        <v>95</v>
      </c>
      <c r="B5" s="166">
        <v>35248.2</v>
      </c>
      <c r="C5" s="166">
        <v>35248.2</v>
      </c>
      <c r="D5" s="166">
        <v>35248.2</v>
      </c>
      <c r="E5" s="166">
        <v>35248.2</v>
      </c>
      <c r="F5" s="166">
        <v>35248.2</v>
      </c>
      <c r="G5" s="166">
        <v>35248.2</v>
      </c>
      <c r="H5" s="166">
        <v>35248.2</v>
      </c>
      <c r="I5" s="166">
        <v>35248.2</v>
      </c>
      <c r="J5" s="166">
        <v>35248.2</v>
      </c>
      <c r="K5" s="166">
        <v>35248.2</v>
      </c>
      <c r="L5" s="166">
        <v>35248.2</v>
      </c>
      <c r="M5" s="166">
        <v>35248.2</v>
      </c>
      <c r="N5" s="166">
        <v>35248.2</v>
      </c>
      <c r="O5" s="166">
        <v>35248.2</v>
      </c>
      <c r="P5" s="166">
        <v>35248.2</v>
      </c>
      <c r="Q5" s="166">
        <v>35248.2</v>
      </c>
      <c r="R5" s="166">
        <v>35248.2</v>
      </c>
      <c r="S5" s="166">
        <v>35248.2</v>
      </c>
      <c r="T5" s="166">
        <v>35248.2</v>
      </c>
      <c r="U5" s="166">
        <v>35248.2</v>
      </c>
      <c r="V5" s="166">
        <v>35248.2</v>
      </c>
      <c r="W5" s="166">
        <v>35248.2</v>
      </c>
      <c r="X5" s="166">
        <v>35248.2</v>
      </c>
      <c r="Y5" s="166">
        <v>35248.2</v>
      </c>
      <c r="Z5" s="166">
        <v>35248.2</v>
      </c>
      <c r="AA5" s="166">
        <v>35248.2</v>
      </c>
      <c r="AB5" s="167">
        <f t="shared" si="1"/>
        <v>916453.2</v>
      </c>
    </row>
    <row r="6" ht="12.75" customHeight="1">
      <c r="A6" s="165" t="s">
        <v>98</v>
      </c>
      <c r="B6" s="166">
        <v>5536.2</v>
      </c>
      <c r="C6" s="166">
        <v>5536.2</v>
      </c>
      <c r="D6" s="166">
        <v>5536.2</v>
      </c>
      <c r="E6" s="166">
        <v>5536.2</v>
      </c>
      <c r="F6" s="166">
        <v>5536.2</v>
      </c>
      <c r="G6" s="166">
        <v>5536.2</v>
      </c>
      <c r="H6" s="166">
        <v>5536.2</v>
      </c>
      <c r="I6" s="166">
        <v>5536.2</v>
      </c>
      <c r="J6" s="166">
        <v>5536.2</v>
      </c>
      <c r="K6" s="166">
        <v>5536.2</v>
      </c>
      <c r="L6" s="166">
        <v>5536.2</v>
      </c>
      <c r="M6" s="166">
        <v>5536.2</v>
      </c>
      <c r="N6" s="166">
        <v>5536.2</v>
      </c>
      <c r="O6" s="166">
        <v>5536.2</v>
      </c>
      <c r="P6" s="166">
        <v>5536.2</v>
      </c>
      <c r="Q6" s="166">
        <v>5536.2</v>
      </c>
      <c r="R6" s="166">
        <v>5536.2</v>
      </c>
      <c r="S6" s="166">
        <v>5536.2</v>
      </c>
      <c r="T6" s="166">
        <v>5536.2</v>
      </c>
      <c r="U6" s="166">
        <v>5536.2</v>
      </c>
      <c r="V6" s="166">
        <v>5536.2</v>
      </c>
      <c r="W6" s="166">
        <v>5536.2</v>
      </c>
      <c r="X6" s="166">
        <v>5536.2</v>
      </c>
      <c r="Y6" s="166">
        <v>5536.2</v>
      </c>
      <c r="Z6" s="166">
        <v>5536.2</v>
      </c>
      <c r="AA6" s="166">
        <v>5536.2</v>
      </c>
      <c r="AB6" s="167">
        <f t="shared" si="1"/>
        <v>143941.2</v>
      </c>
    </row>
    <row r="7" ht="12.75" customHeight="1">
      <c r="A7" s="165" t="s">
        <v>101</v>
      </c>
      <c r="B7" s="166">
        <v>15617.099999999999</v>
      </c>
      <c r="C7" s="166">
        <v>15617.099999999999</v>
      </c>
      <c r="D7" s="166">
        <v>15617.099999999999</v>
      </c>
      <c r="E7" s="166">
        <v>15617.099999999999</v>
      </c>
      <c r="F7" s="166">
        <v>15617.099999999999</v>
      </c>
      <c r="G7" s="166">
        <v>15617.099999999999</v>
      </c>
      <c r="H7" s="166">
        <v>15617.099999999999</v>
      </c>
      <c r="I7" s="166">
        <v>15617.099999999999</v>
      </c>
      <c r="J7" s="166">
        <v>15617.099999999999</v>
      </c>
      <c r="K7" s="166">
        <v>15617.099999999999</v>
      </c>
      <c r="L7" s="166">
        <v>15617.099999999999</v>
      </c>
      <c r="M7" s="166">
        <v>15617.099999999999</v>
      </c>
      <c r="N7" s="166">
        <v>15617.099999999999</v>
      </c>
      <c r="O7" s="166">
        <v>15617.099999999999</v>
      </c>
      <c r="P7" s="166">
        <v>15617.099999999999</v>
      </c>
      <c r="Q7" s="166">
        <v>15617.099999999999</v>
      </c>
      <c r="R7" s="166">
        <v>15617.099999999999</v>
      </c>
      <c r="S7" s="166">
        <v>15617.099999999999</v>
      </c>
      <c r="T7" s="166">
        <v>15617.099999999999</v>
      </c>
      <c r="U7" s="166">
        <v>15617.099999999999</v>
      </c>
      <c r="V7" s="166">
        <v>15617.099999999999</v>
      </c>
      <c r="W7" s="166">
        <v>15617.099999999999</v>
      </c>
      <c r="X7" s="166">
        <v>15617.099999999999</v>
      </c>
      <c r="Y7" s="166">
        <v>15617.099999999999</v>
      </c>
      <c r="Z7" s="166">
        <v>15617.099999999999</v>
      </c>
      <c r="AA7" s="166">
        <v>15617.099999999999</v>
      </c>
      <c r="AB7" s="167">
        <f t="shared" si="1"/>
        <v>406044.6</v>
      </c>
    </row>
    <row r="8" ht="12.75" customHeight="1">
      <c r="B8" s="168">
        <f>sum(B2:B7)</f>
        <v>179072.5</v>
      </c>
    </row>
    <row r="9" ht="12.75" customHeight="1">
      <c r="A9" s="33" t="s">
        <v>72</v>
      </c>
      <c r="B9" s="33" t="s">
        <v>73</v>
      </c>
      <c r="C9" s="33" t="s">
        <v>74</v>
      </c>
      <c r="D9" s="33" t="s">
        <v>75</v>
      </c>
      <c r="E9" s="33" t="s">
        <v>76</v>
      </c>
      <c r="F9" s="33" t="s">
        <v>77</v>
      </c>
      <c r="H9" s="169"/>
      <c r="I9" s="170"/>
      <c r="J9" s="171" t="s">
        <v>75</v>
      </c>
      <c r="K9" s="171" t="s">
        <v>76</v>
      </c>
      <c r="L9" s="171" t="s">
        <v>77</v>
      </c>
      <c r="M9" s="172"/>
      <c r="N9" s="172"/>
    </row>
    <row r="10" ht="12.75" customHeight="1">
      <c r="A10" s="34" t="s">
        <v>104</v>
      </c>
      <c r="B10" s="35"/>
      <c r="C10" s="35">
        <v>1.0</v>
      </c>
      <c r="D10" s="35">
        <v>0.06</v>
      </c>
      <c r="E10" s="35"/>
      <c r="F10" s="35"/>
      <c r="H10" s="173" t="s">
        <v>288</v>
      </c>
      <c r="I10" s="174" t="s">
        <v>289</v>
      </c>
      <c r="J10" s="175">
        <v>5.7</v>
      </c>
      <c r="K10" s="175">
        <v>4.2</v>
      </c>
      <c r="L10" s="175">
        <v>6.4</v>
      </c>
      <c r="M10" s="176"/>
      <c r="N10" s="172"/>
    </row>
    <row r="11" ht="12.75" customHeight="1">
      <c r="A11" s="34" t="s">
        <v>107</v>
      </c>
      <c r="B11" s="35"/>
      <c r="C11" s="35">
        <v>1.0</v>
      </c>
      <c r="D11" s="35">
        <v>0.05</v>
      </c>
      <c r="E11" s="35"/>
      <c r="F11" s="35">
        <v>0.01</v>
      </c>
      <c r="H11" s="177" t="s">
        <v>290</v>
      </c>
      <c r="I11" s="178" t="s">
        <v>291</v>
      </c>
      <c r="J11" s="175">
        <v>1.0</v>
      </c>
      <c r="K11" s="175">
        <v>1.0</v>
      </c>
      <c r="L11" s="175">
        <v>2.0</v>
      </c>
      <c r="M11" s="172" t="s">
        <v>292</v>
      </c>
      <c r="N11" s="172" t="s">
        <v>293</v>
      </c>
    </row>
    <row r="12" ht="12.75" customHeight="1">
      <c r="A12" s="34" t="s">
        <v>109</v>
      </c>
      <c r="B12" s="35"/>
      <c r="C12" s="35">
        <v>1.0</v>
      </c>
      <c r="D12" s="35">
        <v>0.045</v>
      </c>
      <c r="E12" s="35">
        <v>0.015</v>
      </c>
      <c r="F12" s="35"/>
      <c r="H12" s="33" t="s">
        <v>294</v>
      </c>
      <c r="I12" s="179" t="s">
        <v>289</v>
      </c>
      <c r="J12" s="175">
        <v>2.0</v>
      </c>
      <c r="K12" s="175">
        <v>2.5</v>
      </c>
      <c r="L12" s="175">
        <v>2.5</v>
      </c>
      <c r="M12" s="172"/>
      <c r="N12" s="172"/>
    </row>
    <row r="13" ht="12.75" customHeight="1">
      <c r="A13" s="34" t="s">
        <v>95</v>
      </c>
      <c r="B13" s="35">
        <v>1.0</v>
      </c>
      <c r="C13" s="35"/>
      <c r="D13" s="35">
        <v>0.2</v>
      </c>
      <c r="E13" s="35"/>
      <c r="F13" s="35"/>
      <c r="H13" s="33" t="s">
        <v>295</v>
      </c>
      <c r="I13" s="179" t="s">
        <v>296</v>
      </c>
      <c r="J13" s="175">
        <f t="shared" ref="J13:L13" si="2">J12+J11/2</f>
        <v>2.5</v>
      </c>
      <c r="K13" s="175">
        <f t="shared" si="2"/>
        <v>3</v>
      </c>
      <c r="L13" s="175">
        <f t="shared" si="2"/>
        <v>3.5</v>
      </c>
      <c r="M13" s="172" t="s">
        <v>297</v>
      </c>
    </row>
    <row r="14" ht="12.75" customHeight="1">
      <c r="A14" s="34" t="s">
        <v>98</v>
      </c>
      <c r="B14" s="35">
        <v>1.0</v>
      </c>
      <c r="C14" s="35"/>
      <c r="D14" s="35">
        <v>0.15</v>
      </c>
      <c r="E14" s="35">
        <v>0.05</v>
      </c>
      <c r="F14" s="35"/>
    </row>
    <row r="15" ht="12.75" customHeight="1">
      <c r="A15" s="34" t="s">
        <v>101</v>
      </c>
      <c r="B15" s="35">
        <v>1.0</v>
      </c>
      <c r="C15" s="35"/>
      <c r="D15" s="35">
        <v>0.14</v>
      </c>
      <c r="E15" s="35">
        <v>0.05</v>
      </c>
      <c r="F15" s="35">
        <v>0.01</v>
      </c>
      <c r="H15" s="180" t="s">
        <v>298</v>
      </c>
      <c r="I15" s="27"/>
      <c r="J15" s="27"/>
      <c r="K15" s="27"/>
      <c r="L15" s="27"/>
      <c r="M15" s="28"/>
    </row>
    <row r="16" ht="12.75" customHeight="1"/>
    <row r="17" ht="12.75" customHeight="1">
      <c r="A17" s="181" t="s">
        <v>299</v>
      </c>
      <c r="B17" s="182" t="s">
        <v>222</v>
      </c>
      <c r="C17" s="182" t="s">
        <v>223</v>
      </c>
      <c r="D17" s="182" t="s">
        <v>224</v>
      </c>
      <c r="E17" s="182" t="s">
        <v>225</v>
      </c>
      <c r="F17" s="182" t="s">
        <v>226</v>
      </c>
      <c r="G17" s="182" t="s">
        <v>227</v>
      </c>
      <c r="H17" s="182" t="s">
        <v>228</v>
      </c>
      <c r="I17" s="182" t="s">
        <v>229</v>
      </c>
      <c r="J17" s="182" t="s">
        <v>230</v>
      </c>
      <c r="K17" s="182" t="s">
        <v>231</v>
      </c>
      <c r="L17" s="182" t="s">
        <v>232</v>
      </c>
      <c r="M17" s="182" t="s">
        <v>233</v>
      </c>
      <c r="N17" s="182" t="s">
        <v>234</v>
      </c>
      <c r="O17" s="182" t="s">
        <v>235</v>
      </c>
      <c r="P17" s="182" t="s">
        <v>236</v>
      </c>
      <c r="Q17" s="182" t="s">
        <v>237</v>
      </c>
      <c r="R17" s="182" t="s">
        <v>238</v>
      </c>
      <c r="S17" s="182" t="s">
        <v>239</v>
      </c>
      <c r="T17" s="182" t="s">
        <v>240</v>
      </c>
      <c r="U17" s="182" t="s">
        <v>241</v>
      </c>
      <c r="V17" s="182" t="s">
        <v>242</v>
      </c>
      <c r="W17" s="182" t="s">
        <v>243</v>
      </c>
      <c r="X17" s="182" t="s">
        <v>244</v>
      </c>
      <c r="Y17" s="182" t="s">
        <v>245</v>
      </c>
      <c r="Z17" s="182" t="s">
        <v>246</v>
      </c>
      <c r="AA17" s="182" t="s">
        <v>247</v>
      </c>
      <c r="AB17" s="183"/>
    </row>
    <row r="18" ht="12.75" customHeight="1">
      <c r="A18" s="184" t="s">
        <v>300</v>
      </c>
      <c r="B18" s="183">
        <f t="shared" ref="B18:AA18" si="3">SUMPRODUCT(B2:B7,$D$10:$D$15)</f>
        <v>16670.019</v>
      </c>
      <c r="C18" s="183">
        <f t="shared" si="3"/>
        <v>16670.019</v>
      </c>
      <c r="D18" s="183">
        <f t="shared" si="3"/>
        <v>16670.019</v>
      </c>
      <c r="E18" s="183">
        <f t="shared" si="3"/>
        <v>16670.019</v>
      </c>
      <c r="F18" s="183">
        <f t="shared" si="3"/>
        <v>16670.019</v>
      </c>
      <c r="G18" s="183">
        <f t="shared" si="3"/>
        <v>16670.019</v>
      </c>
      <c r="H18" s="183">
        <f t="shared" si="3"/>
        <v>16670.019</v>
      </c>
      <c r="I18" s="183">
        <f t="shared" si="3"/>
        <v>16670.019</v>
      </c>
      <c r="J18" s="183">
        <f t="shared" si="3"/>
        <v>16670.019</v>
      </c>
      <c r="K18" s="183">
        <f t="shared" si="3"/>
        <v>16670.019</v>
      </c>
      <c r="L18" s="183">
        <f t="shared" si="3"/>
        <v>16670.019</v>
      </c>
      <c r="M18" s="183">
        <f t="shared" si="3"/>
        <v>16670.019</v>
      </c>
      <c r="N18" s="183">
        <f t="shared" si="3"/>
        <v>16670.019</v>
      </c>
      <c r="O18" s="183">
        <f t="shared" si="3"/>
        <v>16670.019</v>
      </c>
      <c r="P18" s="183">
        <f t="shared" si="3"/>
        <v>16670.019</v>
      </c>
      <c r="Q18" s="183">
        <f t="shared" si="3"/>
        <v>16670.019</v>
      </c>
      <c r="R18" s="183">
        <f t="shared" si="3"/>
        <v>16670.019</v>
      </c>
      <c r="S18" s="183">
        <f t="shared" si="3"/>
        <v>16670.019</v>
      </c>
      <c r="T18" s="183">
        <f t="shared" si="3"/>
        <v>16670.019</v>
      </c>
      <c r="U18" s="183">
        <f t="shared" si="3"/>
        <v>16670.019</v>
      </c>
      <c r="V18" s="183">
        <f t="shared" si="3"/>
        <v>16670.019</v>
      </c>
      <c r="W18" s="183">
        <f t="shared" si="3"/>
        <v>16670.019</v>
      </c>
      <c r="X18" s="183">
        <f t="shared" si="3"/>
        <v>16670.019</v>
      </c>
      <c r="Y18" s="183">
        <f t="shared" si="3"/>
        <v>16670.019</v>
      </c>
      <c r="Z18" s="183">
        <f t="shared" si="3"/>
        <v>16670.019</v>
      </c>
      <c r="AA18" s="183">
        <f t="shared" si="3"/>
        <v>16670.019</v>
      </c>
      <c r="AB18" s="183"/>
    </row>
    <row r="19" ht="12.75" customHeight="1">
      <c r="A19" s="184" t="s">
        <v>301</v>
      </c>
      <c r="B19" s="185">
        <f>$J$13*AVERAGE(B18:AA18)</f>
        <v>41675.0475</v>
      </c>
      <c r="C19" s="183">
        <f t="shared" ref="C19:AA19" si="4">B20</f>
        <v>25005.0285</v>
      </c>
      <c r="D19" s="183">
        <f t="shared" si="4"/>
        <v>68335.0095</v>
      </c>
      <c r="E19" s="183">
        <f t="shared" si="4"/>
        <v>51664.9905</v>
      </c>
      <c r="F19" s="183">
        <f t="shared" si="4"/>
        <v>34994.9715</v>
      </c>
      <c r="G19" s="183">
        <f t="shared" si="4"/>
        <v>78324.9525</v>
      </c>
      <c r="H19" s="183">
        <f t="shared" si="4"/>
        <v>61654.9335</v>
      </c>
      <c r="I19" s="183">
        <f t="shared" si="4"/>
        <v>44984.9145</v>
      </c>
      <c r="J19" s="183">
        <f t="shared" si="4"/>
        <v>28314.8955</v>
      </c>
      <c r="K19" s="183">
        <f t="shared" si="4"/>
        <v>11644.8765</v>
      </c>
      <c r="L19" s="183">
        <f t="shared" si="4"/>
        <v>-5025.1425</v>
      </c>
      <c r="M19" s="183">
        <f t="shared" si="4"/>
        <v>-21695.1615</v>
      </c>
      <c r="N19" s="183">
        <f t="shared" si="4"/>
        <v>-38365.1805</v>
      </c>
      <c r="O19" s="183">
        <f t="shared" si="4"/>
        <v>-25035.1995</v>
      </c>
      <c r="P19" s="183">
        <f t="shared" si="4"/>
        <v>-41705.2185</v>
      </c>
      <c r="Q19" s="183">
        <f t="shared" si="4"/>
        <v>-28375.2375</v>
      </c>
      <c r="R19" s="183">
        <f t="shared" si="4"/>
        <v>-45045.2565</v>
      </c>
      <c r="S19" s="183">
        <f t="shared" si="4"/>
        <v>-31715.2755</v>
      </c>
      <c r="T19" s="183">
        <f t="shared" si="4"/>
        <v>-18385.2945</v>
      </c>
      <c r="U19" s="183">
        <f t="shared" si="4"/>
        <v>-35055.3135</v>
      </c>
      <c r="V19" s="183">
        <f t="shared" si="4"/>
        <v>-21725.3325</v>
      </c>
      <c r="W19" s="183">
        <f t="shared" si="4"/>
        <v>-38395.3515</v>
      </c>
      <c r="X19" s="183">
        <f t="shared" si="4"/>
        <v>-25065.3705</v>
      </c>
      <c r="Y19" s="183">
        <f t="shared" si="4"/>
        <v>-41735.3895</v>
      </c>
      <c r="Z19" s="183">
        <f t="shared" si="4"/>
        <v>-28405.4085</v>
      </c>
      <c r="AA19" s="183">
        <f t="shared" si="4"/>
        <v>-45075.4275</v>
      </c>
      <c r="AB19" s="183"/>
    </row>
    <row r="20" ht="12.75" customHeight="1">
      <c r="A20" s="184" t="s">
        <v>302</v>
      </c>
      <c r="B20" s="183">
        <f t="shared" ref="B20:AA20" si="5">B19-B18+B22</f>
        <v>25005.0285</v>
      </c>
      <c r="C20" s="183">
        <f t="shared" si="5"/>
        <v>68335.0095</v>
      </c>
      <c r="D20" s="183">
        <f t="shared" si="5"/>
        <v>51664.9905</v>
      </c>
      <c r="E20" s="183">
        <f t="shared" si="5"/>
        <v>34994.9715</v>
      </c>
      <c r="F20" s="183">
        <f t="shared" si="5"/>
        <v>78324.9525</v>
      </c>
      <c r="G20" s="183">
        <f t="shared" si="5"/>
        <v>61654.9335</v>
      </c>
      <c r="H20" s="183">
        <f t="shared" si="5"/>
        <v>44984.9145</v>
      </c>
      <c r="I20" s="183">
        <f t="shared" si="5"/>
        <v>28314.8955</v>
      </c>
      <c r="J20" s="183">
        <f t="shared" si="5"/>
        <v>11644.8765</v>
      </c>
      <c r="K20" s="183">
        <f t="shared" si="5"/>
        <v>-5025.1425</v>
      </c>
      <c r="L20" s="183">
        <f t="shared" si="5"/>
        <v>-21695.1615</v>
      </c>
      <c r="M20" s="183">
        <f t="shared" si="5"/>
        <v>-38365.1805</v>
      </c>
      <c r="N20" s="183">
        <f t="shared" si="5"/>
        <v>-25035.1995</v>
      </c>
      <c r="O20" s="183">
        <f t="shared" si="5"/>
        <v>-41705.2185</v>
      </c>
      <c r="P20" s="183">
        <f t="shared" si="5"/>
        <v>-28375.2375</v>
      </c>
      <c r="Q20" s="183">
        <f t="shared" si="5"/>
        <v>-45045.2565</v>
      </c>
      <c r="R20" s="183">
        <f t="shared" si="5"/>
        <v>-31715.2755</v>
      </c>
      <c r="S20" s="183">
        <f t="shared" si="5"/>
        <v>-18385.2945</v>
      </c>
      <c r="T20" s="183">
        <f t="shared" si="5"/>
        <v>-35055.3135</v>
      </c>
      <c r="U20" s="183">
        <f t="shared" si="5"/>
        <v>-21725.3325</v>
      </c>
      <c r="V20" s="183">
        <f t="shared" si="5"/>
        <v>-38395.3515</v>
      </c>
      <c r="W20" s="183">
        <f t="shared" si="5"/>
        <v>-25065.3705</v>
      </c>
      <c r="X20" s="183">
        <f t="shared" si="5"/>
        <v>-41735.3895</v>
      </c>
      <c r="Y20" s="183">
        <f t="shared" si="5"/>
        <v>-28405.4085</v>
      </c>
      <c r="Z20" s="183">
        <f t="shared" si="5"/>
        <v>-45075.4275</v>
      </c>
      <c r="AA20" s="183">
        <f t="shared" si="5"/>
        <v>-31745.4465</v>
      </c>
      <c r="AB20" s="183"/>
    </row>
    <row r="21" ht="12.75" customHeight="1">
      <c r="A21" s="184" t="s">
        <v>303</v>
      </c>
      <c r="B21" s="183">
        <f t="shared" ref="B21:AA21" si="6">SUM(B18:C18)</f>
        <v>33340.038</v>
      </c>
      <c r="C21" s="183">
        <f t="shared" si="6"/>
        <v>33340.038</v>
      </c>
      <c r="D21" s="183">
        <f t="shared" si="6"/>
        <v>33340.038</v>
      </c>
      <c r="E21" s="183">
        <f t="shared" si="6"/>
        <v>33340.038</v>
      </c>
      <c r="F21" s="183">
        <f t="shared" si="6"/>
        <v>33340.038</v>
      </c>
      <c r="G21" s="183">
        <f t="shared" si="6"/>
        <v>33340.038</v>
      </c>
      <c r="H21" s="183">
        <f t="shared" si="6"/>
        <v>33340.038</v>
      </c>
      <c r="I21" s="183">
        <f t="shared" si="6"/>
        <v>33340.038</v>
      </c>
      <c r="J21" s="183">
        <f t="shared" si="6"/>
        <v>33340.038</v>
      </c>
      <c r="K21" s="183">
        <f t="shared" si="6"/>
        <v>33340.038</v>
      </c>
      <c r="L21" s="183">
        <f t="shared" si="6"/>
        <v>33340.038</v>
      </c>
      <c r="M21" s="183">
        <f t="shared" si="6"/>
        <v>33340.038</v>
      </c>
      <c r="N21" s="183">
        <f t="shared" si="6"/>
        <v>33340.038</v>
      </c>
      <c r="O21" s="183">
        <f t="shared" si="6"/>
        <v>33340.038</v>
      </c>
      <c r="P21" s="183">
        <f t="shared" si="6"/>
        <v>33340.038</v>
      </c>
      <c r="Q21" s="183">
        <f t="shared" si="6"/>
        <v>33340.038</v>
      </c>
      <c r="R21" s="183">
        <f t="shared" si="6"/>
        <v>33340.038</v>
      </c>
      <c r="S21" s="183">
        <f t="shared" si="6"/>
        <v>33340.038</v>
      </c>
      <c r="T21" s="183">
        <f t="shared" si="6"/>
        <v>33340.038</v>
      </c>
      <c r="U21" s="183">
        <f t="shared" si="6"/>
        <v>33340.038</v>
      </c>
      <c r="V21" s="183">
        <f t="shared" si="6"/>
        <v>33340.038</v>
      </c>
      <c r="W21" s="183">
        <f t="shared" si="6"/>
        <v>33340.038</v>
      </c>
      <c r="X21" s="183">
        <f t="shared" si="6"/>
        <v>33340.038</v>
      </c>
      <c r="Y21" s="183">
        <f t="shared" si="6"/>
        <v>33340.038</v>
      </c>
      <c r="Z21" s="183">
        <f t="shared" si="6"/>
        <v>33340.038</v>
      </c>
      <c r="AA21" s="183">
        <f t="shared" si="6"/>
        <v>16670.019</v>
      </c>
      <c r="AB21" s="183"/>
    </row>
    <row r="22" ht="15.75" customHeight="1">
      <c r="A22" s="184" t="s">
        <v>304</v>
      </c>
      <c r="B22" s="183"/>
      <c r="C22" s="183">
        <v>60000.0</v>
      </c>
      <c r="D22" s="183"/>
      <c r="E22" s="183"/>
      <c r="F22" s="183">
        <v>60000.0</v>
      </c>
      <c r="G22" s="183"/>
      <c r="H22" s="183"/>
      <c r="I22" s="183"/>
      <c r="J22" s="183"/>
      <c r="K22" s="183"/>
      <c r="L22" s="183"/>
      <c r="M22" s="183"/>
      <c r="N22" s="183">
        <v>30000.0</v>
      </c>
      <c r="O22" s="183"/>
      <c r="P22" s="183">
        <v>30000.0</v>
      </c>
      <c r="Q22" s="183"/>
      <c r="R22" s="183">
        <v>30000.0</v>
      </c>
      <c r="S22" s="183">
        <v>30000.0</v>
      </c>
      <c r="T22" s="183"/>
      <c r="U22" s="183">
        <v>30000.0</v>
      </c>
      <c r="V22" s="183"/>
      <c r="W22" s="183">
        <v>30000.0</v>
      </c>
      <c r="X22" s="183"/>
      <c r="Y22" s="183">
        <v>30000.0</v>
      </c>
      <c r="Z22" s="183"/>
      <c r="AA22" s="183">
        <v>30000.0</v>
      </c>
      <c r="AB22" s="183"/>
    </row>
    <row r="23" ht="12.75" customHeight="1">
      <c r="A23" s="186" t="s">
        <v>305</v>
      </c>
      <c r="B23" s="187">
        <v>30000.0</v>
      </c>
      <c r="C23" s="187"/>
      <c r="D23" s="187">
        <f t="shared" ref="D23:AA23" si="7">F22</f>
        <v>60000</v>
      </c>
      <c r="E23" s="187" t="str">
        <f t="shared" si="7"/>
        <v/>
      </c>
      <c r="F23" s="187" t="str">
        <f t="shared" si="7"/>
        <v/>
      </c>
      <c r="G23" s="187" t="str">
        <f t="shared" si="7"/>
        <v/>
      </c>
      <c r="H23" s="187" t="str">
        <f t="shared" si="7"/>
        <v/>
      </c>
      <c r="I23" s="187" t="str">
        <f t="shared" si="7"/>
        <v/>
      </c>
      <c r="J23" s="187" t="str">
        <f t="shared" si="7"/>
        <v/>
      </c>
      <c r="K23" s="187" t="str">
        <f t="shared" si="7"/>
        <v/>
      </c>
      <c r="L23" s="187">
        <f t="shared" si="7"/>
        <v>30000</v>
      </c>
      <c r="M23" s="187" t="str">
        <f t="shared" si="7"/>
        <v/>
      </c>
      <c r="N23" s="187">
        <f t="shared" si="7"/>
        <v>30000</v>
      </c>
      <c r="O23" s="187" t="str">
        <f t="shared" si="7"/>
        <v/>
      </c>
      <c r="P23" s="187">
        <f t="shared" si="7"/>
        <v>30000</v>
      </c>
      <c r="Q23" s="187">
        <f t="shared" si="7"/>
        <v>30000</v>
      </c>
      <c r="R23" s="187" t="str">
        <f t="shared" si="7"/>
        <v/>
      </c>
      <c r="S23" s="187">
        <f t="shared" si="7"/>
        <v>30000</v>
      </c>
      <c r="T23" s="187" t="str">
        <f t="shared" si="7"/>
        <v/>
      </c>
      <c r="U23" s="187">
        <f t="shared" si="7"/>
        <v>30000</v>
      </c>
      <c r="V23" s="187" t="str">
        <f t="shared" si="7"/>
        <v/>
      </c>
      <c r="W23" s="187">
        <f t="shared" si="7"/>
        <v>30000</v>
      </c>
      <c r="X23" s="187" t="str">
        <f t="shared" si="7"/>
        <v/>
      </c>
      <c r="Y23" s="187">
        <f t="shared" si="7"/>
        <v>30000</v>
      </c>
      <c r="Z23" s="187" t="str">
        <f t="shared" si="7"/>
        <v/>
      </c>
      <c r="AA23" s="187" t="str">
        <f t="shared" si="7"/>
        <v/>
      </c>
      <c r="AB23" s="187"/>
    </row>
    <row r="24" ht="12.75" customHeight="1">
      <c r="A24" s="184" t="s">
        <v>306</v>
      </c>
      <c r="B24" s="188">
        <f t="shared" ref="B24:AA24" si="8">B20/30000</f>
        <v>0.83350095</v>
      </c>
      <c r="C24" s="188">
        <f t="shared" si="8"/>
        <v>2.27783365</v>
      </c>
      <c r="D24" s="188">
        <f t="shared" si="8"/>
        <v>1.72216635</v>
      </c>
      <c r="E24" s="188">
        <f t="shared" si="8"/>
        <v>1.16649905</v>
      </c>
      <c r="F24" s="188">
        <f t="shared" si="8"/>
        <v>2.61083175</v>
      </c>
      <c r="G24" s="188">
        <f t="shared" si="8"/>
        <v>2.05516445</v>
      </c>
      <c r="H24" s="188">
        <f t="shared" si="8"/>
        <v>1.49949715</v>
      </c>
      <c r="I24" s="188">
        <f t="shared" si="8"/>
        <v>0.94382985</v>
      </c>
      <c r="J24" s="188">
        <f t="shared" si="8"/>
        <v>0.38816255</v>
      </c>
      <c r="K24" s="188">
        <f t="shared" si="8"/>
        <v>-0.16750475</v>
      </c>
      <c r="L24" s="188">
        <f t="shared" si="8"/>
        <v>-0.72317205</v>
      </c>
      <c r="M24" s="188">
        <f t="shared" si="8"/>
        <v>-1.27883935</v>
      </c>
      <c r="N24" s="188">
        <f t="shared" si="8"/>
        <v>-0.83450665</v>
      </c>
      <c r="O24" s="188">
        <f t="shared" si="8"/>
        <v>-1.39017395</v>
      </c>
      <c r="P24" s="188">
        <f t="shared" si="8"/>
        <v>-0.94584125</v>
      </c>
      <c r="Q24" s="188">
        <f t="shared" si="8"/>
        <v>-1.50150855</v>
      </c>
      <c r="R24" s="188">
        <f t="shared" si="8"/>
        <v>-1.05717585</v>
      </c>
      <c r="S24" s="188">
        <f t="shared" si="8"/>
        <v>-0.61284315</v>
      </c>
      <c r="T24" s="188">
        <f t="shared" si="8"/>
        <v>-1.16851045</v>
      </c>
      <c r="U24" s="188">
        <f t="shared" si="8"/>
        <v>-0.72417775</v>
      </c>
      <c r="V24" s="188">
        <f t="shared" si="8"/>
        <v>-1.27984505</v>
      </c>
      <c r="W24" s="188">
        <f t="shared" si="8"/>
        <v>-0.83551235</v>
      </c>
      <c r="X24" s="188">
        <f t="shared" si="8"/>
        <v>-1.39117965</v>
      </c>
      <c r="Y24" s="188">
        <f t="shared" si="8"/>
        <v>-0.94684695</v>
      </c>
      <c r="Z24" s="188">
        <f t="shared" si="8"/>
        <v>-1.50251425</v>
      </c>
      <c r="AA24" s="188">
        <f t="shared" si="8"/>
        <v>-1.05818155</v>
      </c>
    </row>
    <row r="25" ht="12.75" customHeight="1"/>
    <row r="26" ht="12.75" customHeight="1">
      <c r="A26" s="181" t="s">
        <v>76</v>
      </c>
      <c r="B26" s="182" t="s">
        <v>222</v>
      </c>
      <c r="C26" s="182" t="s">
        <v>223</v>
      </c>
      <c r="D26" s="182" t="s">
        <v>224</v>
      </c>
      <c r="E26" s="182" t="s">
        <v>225</v>
      </c>
      <c r="F26" s="182" t="s">
        <v>226</v>
      </c>
      <c r="G26" s="182" t="s">
        <v>227</v>
      </c>
      <c r="H26" s="182" t="s">
        <v>228</v>
      </c>
      <c r="I26" s="182" t="s">
        <v>229</v>
      </c>
      <c r="J26" s="182" t="s">
        <v>230</v>
      </c>
      <c r="K26" s="182" t="s">
        <v>231</v>
      </c>
      <c r="L26" s="182" t="s">
        <v>232</v>
      </c>
      <c r="M26" s="182" t="s">
        <v>233</v>
      </c>
      <c r="N26" s="182" t="s">
        <v>234</v>
      </c>
      <c r="O26" s="182" t="s">
        <v>235</v>
      </c>
      <c r="P26" s="182" t="s">
        <v>236</v>
      </c>
      <c r="Q26" s="182" t="s">
        <v>237</v>
      </c>
      <c r="R26" s="182" t="s">
        <v>238</v>
      </c>
      <c r="S26" s="182" t="s">
        <v>239</v>
      </c>
      <c r="T26" s="182" t="s">
        <v>240</v>
      </c>
      <c r="U26" s="182" t="s">
        <v>241</v>
      </c>
      <c r="V26" s="182" t="s">
        <v>242</v>
      </c>
      <c r="W26" s="182" t="s">
        <v>243</v>
      </c>
      <c r="X26" s="182" t="s">
        <v>244</v>
      </c>
      <c r="Y26" s="182" t="s">
        <v>245</v>
      </c>
      <c r="Z26" s="182" t="s">
        <v>246</v>
      </c>
      <c r="AA26" s="182" t="s">
        <v>247</v>
      </c>
    </row>
    <row r="27" ht="12.75" customHeight="1">
      <c r="A27" s="184" t="s">
        <v>307</v>
      </c>
      <c r="B27" s="183">
        <f t="shared" ref="B27:AA27" si="9">SUMPRODUCT(B2:B7,$E$10:$E$15)</f>
        <v>1700.52</v>
      </c>
      <c r="C27" s="183">
        <f t="shared" si="9"/>
        <v>1700.52</v>
      </c>
      <c r="D27" s="183">
        <f t="shared" si="9"/>
        <v>1700.52</v>
      </c>
      <c r="E27" s="183">
        <f t="shared" si="9"/>
        <v>1700.52</v>
      </c>
      <c r="F27" s="183">
        <f t="shared" si="9"/>
        <v>1700.52</v>
      </c>
      <c r="G27" s="183">
        <f t="shared" si="9"/>
        <v>1700.52</v>
      </c>
      <c r="H27" s="183">
        <f t="shared" si="9"/>
        <v>1700.52</v>
      </c>
      <c r="I27" s="183">
        <f t="shared" si="9"/>
        <v>1700.52</v>
      </c>
      <c r="J27" s="183">
        <f t="shared" si="9"/>
        <v>1700.52</v>
      </c>
      <c r="K27" s="183">
        <f t="shared" si="9"/>
        <v>1700.52</v>
      </c>
      <c r="L27" s="183">
        <f t="shared" si="9"/>
        <v>1700.52</v>
      </c>
      <c r="M27" s="183">
        <f t="shared" si="9"/>
        <v>1700.52</v>
      </c>
      <c r="N27" s="183">
        <f t="shared" si="9"/>
        <v>1700.52</v>
      </c>
      <c r="O27" s="183">
        <f t="shared" si="9"/>
        <v>1700.52</v>
      </c>
      <c r="P27" s="183">
        <f t="shared" si="9"/>
        <v>1700.52</v>
      </c>
      <c r="Q27" s="183">
        <f t="shared" si="9"/>
        <v>1700.52</v>
      </c>
      <c r="R27" s="183">
        <f t="shared" si="9"/>
        <v>1700.52</v>
      </c>
      <c r="S27" s="183">
        <f t="shared" si="9"/>
        <v>1700.52</v>
      </c>
      <c r="T27" s="183">
        <f t="shared" si="9"/>
        <v>1700.52</v>
      </c>
      <c r="U27" s="183">
        <f t="shared" si="9"/>
        <v>1700.52</v>
      </c>
      <c r="V27" s="183">
        <f t="shared" si="9"/>
        <v>1700.52</v>
      </c>
      <c r="W27" s="183">
        <f t="shared" si="9"/>
        <v>1700.52</v>
      </c>
      <c r="X27" s="183">
        <f t="shared" si="9"/>
        <v>1700.52</v>
      </c>
      <c r="Y27" s="183">
        <f t="shared" si="9"/>
        <v>1700.52</v>
      </c>
      <c r="Z27" s="183">
        <f t="shared" si="9"/>
        <v>1700.52</v>
      </c>
      <c r="AA27" s="183">
        <f t="shared" si="9"/>
        <v>1700.52</v>
      </c>
    </row>
    <row r="28" ht="12.75" customHeight="1">
      <c r="A28" s="184" t="s">
        <v>308</v>
      </c>
      <c r="B28" s="185">
        <v>10000.0</v>
      </c>
      <c r="C28" s="183">
        <f t="shared" ref="C28:AA28" si="10">B29</f>
        <v>8299.48</v>
      </c>
      <c r="D28" s="183">
        <f t="shared" si="10"/>
        <v>6598.96</v>
      </c>
      <c r="E28" s="183">
        <f t="shared" si="10"/>
        <v>4898.44</v>
      </c>
      <c r="F28" s="183">
        <f t="shared" si="10"/>
        <v>8197.92</v>
      </c>
      <c r="G28" s="183">
        <f t="shared" si="10"/>
        <v>6497.4</v>
      </c>
      <c r="H28" s="183">
        <f t="shared" si="10"/>
        <v>9796.88</v>
      </c>
      <c r="I28" s="183">
        <f t="shared" si="10"/>
        <v>8096.36</v>
      </c>
      <c r="J28" s="183">
        <f t="shared" si="10"/>
        <v>6395.84</v>
      </c>
      <c r="K28" s="183">
        <f t="shared" si="10"/>
        <v>9695.32</v>
      </c>
      <c r="L28" s="183">
        <f t="shared" si="10"/>
        <v>7994.8</v>
      </c>
      <c r="M28" s="183">
        <f t="shared" si="10"/>
        <v>6294.28</v>
      </c>
      <c r="N28" s="183">
        <f t="shared" si="10"/>
        <v>9593.76</v>
      </c>
      <c r="O28" s="183">
        <f t="shared" si="10"/>
        <v>7893.24</v>
      </c>
      <c r="P28" s="183">
        <f t="shared" si="10"/>
        <v>6192.72</v>
      </c>
      <c r="Q28" s="183">
        <f t="shared" si="10"/>
        <v>9492.2</v>
      </c>
      <c r="R28" s="183">
        <f t="shared" si="10"/>
        <v>7791.68</v>
      </c>
      <c r="S28" s="183">
        <f t="shared" si="10"/>
        <v>6091.16</v>
      </c>
      <c r="T28" s="183">
        <f t="shared" si="10"/>
        <v>9390.64</v>
      </c>
      <c r="U28" s="183">
        <f t="shared" si="10"/>
        <v>7690.12</v>
      </c>
      <c r="V28" s="183">
        <f t="shared" si="10"/>
        <v>5989.6</v>
      </c>
      <c r="W28" s="183">
        <f t="shared" si="10"/>
        <v>9289.08</v>
      </c>
      <c r="X28" s="183">
        <f t="shared" si="10"/>
        <v>7588.56</v>
      </c>
      <c r="Y28" s="183">
        <f t="shared" si="10"/>
        <v>5888.04</v>
      </c>
      <c r="Z28" s="183">
        <f t="shared" si="10"/>
        <v>9187.52</v>
      </c>
      <c r="AA28" s="183">
        <f t="shared" si="10"/>
        <v>7487</v>
      </c>
    </row>
    <row r="29" ht="12.75" customHeight="1">
      <c r="A29" s="184" t="s">
        <v>309</v>
      </c>
      <c r="B29" s="183">
        <f>B28-B27+B31</f>
        <v>8299.48</v>
      </c>
      <c r="C29" s="183">
        <f t="shared" ref="C29:AA29" si="11">B29-C27+C31</f>
        <v>6598.96</v>
      </c>
      <c r="D29" s="183">
        <f t="shared" si="11"/>
        <v>4898.44</v>
      </c>
      <c r="E29" s="183">
        <f t="shared" si="11"/>
        <v>8197.92</v>
      </c>
      <c r="F29" s="183">
        <f t="shared" si="11"/>
        <v>6497.4</v>
      </c>
      <c r="G29" s="183">
        <f t="shared" si="11"/>
        <v>9796.88</v>
      </c>
      <c r="H29" s="183">
        <f t="shared" si="11"/>
        <v>8096.36</v>
      </c>
      <c r="I29" s="183">
        <f t="shared" si="11"/>
        <v>6395.84</v>
      </c>
      <c r="J29" s="183">
        <f t="shared" si="11"/>
        <v>9695.32</v>
      </c>
      <c r="K29" s="183">
        <f t="shared" si="11"/>
        <v>7994.8</v>
      </c>
      <c r="L29" s="183">
        <f t="shared" si="11"/>
        <v>6294.28</v>
      </c>
      <c r="M29" s="183">
        <f t="shared" si="11"/>
        <v>9593.76</v>
      </c>
      <c r="N29" s="183">
        <f t="shared" si="11"/>
        <v>7893.24</v>
      </c>
      <c r="O29" s="183">
        <f t="shared" si="11"/>
        <v>6192.72</v>
      </c>
      <c r="P29" s="183">
        <f t="shared" si="11"/>
        <v>9492.2</v>
      </c>
      <c r="Q29" s="183">
        <f t="shared" si="11"/>
        <v>7791.68</v>
      </c>
      <c r="R29" s="183">
        <f t="shared" si="11"/>
        <v>6091.16</v>
      </c>
      <c r="S29" s="183">
        <f t="shared" si="11"/>
        <v>9390.64</v>
      </c>
      <c r="T29" s="183">
        <f t="shared" si="11"/>
        <v>7690.12</v>
      </c>
      <c r="U29" s="183">
        <f t="shared" si="11"/>
        <v>5989.6</v>
      </c>
      <c r="V29" s="183">
        <f t="shared" si="11"/>
        <v>9289.08</v>
      </c>
      <c r="W29" s="183">
        <f t="shared" si="11"/>
        <v>7588.56</v>
      </c>
      <c r="X29" s="183">
        <f t="shared" si="11"/>
        <v>5888.04</v>
      </c>
      <c r="Y29" s="183">
        <f t="shared" si="11"/>
        <v>9187.52</v>
      </c>
      <c r="Z29" s="183">
        <f t="shared" si="11"/>
        <v>7487</v>
      </c>
      <c r="AA29" s="183">
        <f t="shared" si="11"/>
        <v>5786.48</v>
      </c>
    </row>
    <row r="30" ht="12.75" customHeight="1">
      <c r="A30" s="184" t="s">
        <v>303</v>
      </c>
      <c r="B30" s="183">
        <f t="shared" ref="B30:AA30" si="12">SUM(B27:D27)</f>
        <v>5101.56</v>
      </c>
      <c r="C30" s="183">
        <f t="shared" si="12"/>
        <v>5101.56</v>
      </c>
      <c r="D30" s="183">
        <f t="shared" si="12"/>
        <v>5101.56</v>
      </c>
      <c r="E30" s="183">
        <f t="shared" si="12"/>
        <v>5101.56</v>
      </c>
      <c r="F30" s="183">
        <f t="shared" si="12"/>
        <v>5101.56</v>
      </c>
      <c r="G30" s="183">
        <f t="shared" si="12"/>
        <v>5101.56</v>
      </c>
      <c r="H30" s="183">
        <f t="shared" si="12"/>
        <v>5101.56</v>
      </c>
      <c r="I30" s="183">
        <f t="shared" si="12"/>
        <v>5101.56</v>
      </c>
      <c r="J30" s="183">
        <f t="shared" si="12"/>
        <v>5101.56</v>
      </c>
      <c r="K30" s="183">
        <f t="shared" si="12"/>
        <v>5101.56</v>
      </c>
      <c r="L30" s="183">
        <f t="shared" si="12"/>
        <v>5101.56</v>
      </c>
      <c r="M30" s="183">
        <f t="shared" si="12"/>
        <v>5101.56</v>
      </c>
      <c r="N30" s="183">
        <f t="shared" si="12"/>
        <v>5101.56</v>
      </c>
      <c r="O30" s="183">
        <f t="shared" si="12"/>
        <v>5101.56</v>
      </c>
      <c r="P30" s="183">
        <f t="shared" si="12"/>
        <v>5101.56</v>
      </c>
      <c r="Q30" s="183">
        <f t="shared" si="12"/>
        <v>5101.56</v>
      </c>
      <c r="R30" s="183">
        <f t="shared" si="12"/>
        <v>5101.56</v>
      </c>
      <c r="S30" s="183">
        <f t="shared" si="12"/>
        <v>5101.56</v>
      </c>
      <c r="T30" s="183">
        <f t="shared" si="12"/>
        <v>5101.56</v>
      </c>
      <c r="U30" s="183">
        <f t="shared" si="12"/>
        <v>5101.56</v>
      </c>
      <c r="V30" s="183">
        <f t="shared" si="12"/>
        <v>5101.56</v>
      </c>
      <c r="W30" s="183">
        <f t="shared" si="12"/>
        <v>5101.56</v>
      </c>
      <c r="X30" s="183">
        <f t="shared" si="12"/>
        <v>5101.56</v>
      </c>
      <c r="Y30" s="183">
        <f t="shared" si="12"/>
        <v>5101.56</v>
      </c>
      <c r="Z30" s="183">
        <f t="shared" si="12"/>
        <v>3401.04</v>
      </c>
      <c r="AA30" s="183">
        <f t="shared" si="12"/>
        <v>1700.52</v>
      </c>
    </row>
    <row r="31" ht="12.75" customHeight="1">
      <c r="A31" s="184" t="s">
        <v>310</v>
      </c>
      <c r="B31" s="183"/>
      <c r="C31" s="183"/>
      <c r="D31" s="183"/>
      <c r="E31" s="183">
        <v>5000.0</v>
      </c>
      <c r="F31" s="183"/>
      <c r="G31" s="183">
        <v>5000.0</v>
      </c>
      <c r="H31" s="183"/>
      <c r="I31" s="183"/>
      <c r="J31" s="183">
        <v>5000.0</v>
      </c>
      <c r="K31" s="183"/>
      <c r="L31" s="183"/>
      <c r="M31" s="183">
        <v>5000.0</v>
      </c>
      <c r="N31" s="183"/>
      <c r="O31" s="183"/>
      <c r="P31" s="183">
        <v>5000.0</v>
      </c>
      <c r="Q31" s="183"/>
      <c r="R31" s="183"/>
      <c r="S31" s="183">
        <v>5000.0</v>
      </c>
      <c r="T31" s="183"/>
      <c r="U31" s="183"/>
      <c r="V31" s="183">
        <v>5000.0</v>
      </c>
      <c r="W31" s="183"/>
      <c r="X31" s="183"/>
      <c r="Y31" s="183">
        <v>5000.0</v>
      </c>
      <c r="Z31" s="183"/>
      <c r="AA31" s="183"/>
    </row>
    <row r="32" ht="12.75" customHeight="1">
      <c r="A32" s="186" t="s">
        <v>305</v>
      </c>
      <c r="B32" s="187" t="str">
        <f t="shared" ref="B32:AA32" si="13">D31</f>
        <v/>
      </c>
      <c r="C32" s="187">
        <f t="shared" si="13"/>
        <v>5000</v>
      </c>
      <c r="D32" s="187" t="str">
        <f t="shared" si="13"/>
        <v/>
      </c>
      <c r="E32" s="187">
        <f t="shared" si="13"/>
        <v>5000</v>
      </c>
      <c r="F32" s="187" t="str">
        <f t="shared" si="13"/>
        <v/>
      </c>
      <c r="G32" s="187" t="str">
        <f t="shared" si="13"/>
        <v/>
      </c>
      <c r="H32" s="187">
        <f t="shared" si="13"/>
        <v>5000</v>
      </c>
      <c r="I32" s="187" t="str">
        <f t="shared" si="13"/>
        <v/>
      </c>
      <c r="J32" s="187" t="str">
        <f t="shared" si="13"/>
        <v/>
      </c>
      <c r="K32" s="187">
        <f t="shared" si="13"/>
        <v>5000</v>
      </c>
      <c r="L32" s="187" t="str">
        <f t="shared" si="13"/>
        <v/>
      </c>
      <c r="M32" s="187" t="str">
        <f t="shared" si="13"/>
        <v/>
      </c>
      <c r="N32" s="187">
        <f t="shared" si="13"/>
        <v>5000</v>
      </c>
      <c r="O32" s="187" t="str">
        <f t="shared" si="13"/>
        <v/>
      </c>
      <c r="P32" s="187" t="str">
        <f t="shared" si="13"/>
        <v/>
      </c>
      <c r="Q32" s="187">
        <f t="shared" si="13"/>
        <v>5000</v>
      </c>
      <c r="R32" s="187" t="str">
        <f t="shared" si="13"/>
        <v/>
      </c>
      <c r="S32" s="187" t="str">
        <f t="shared" si="13"/>
        <v/>
      </c>
      <c r="T32" s="187">
        <f t="shared" si="13"/>
        <v>5000</v>
      </c>
      <c r="U32" s="187" t="str">
        <f t="shared" si="13"/>
        <v/>
      </c>
      <c r="V32" s="187" t="str">
        <f t="shared" si="13"/>
        <v/>
      </c>
      <c r="W32" s="187">
        <f t="shared" si="13"/>
        <v>5000</v>
      </c>
      <c r="X32" s="187" t="str">
        <f t="shared" si="13"/>
        <v/>
      </c>
      <c r="Y32" s="187" t="str">
        <f t="shared" si="13"/>
        <v/>
      </c>
      <c r="Z32" s="187" t="str">
        <f t="shared" si="13"/>
        <v/>
      </c>
      <c r="AA32" s="187" t="str">
        <f t="shared" si="13"/>
        <v/>
      </c>
    </row>
    <row r="33" ht="12.75" customHeight="1">
      <c r="E33" s="189">
        <v>2000.0</v>
      </c>
      <c r="F33" s="189">
        <v>2000.0</v>
      </c>
      <c r="G33" s="189">
        <v>2000.0</v>
      </c>
      <c r="H33" s="189">
        <v>2000.0</v>
      </c>
      <c r="I33" s="189">
        <v>2000.0</v>
      </c>
      <c r="J33" s="189">
        <v>2000.0</v>
      </c>
      <c r="K33" s="189">
        <v>2000.0</v>
      </c>
      <c r="M33" s="189">
        <v>2000.0</v>
      </c>
      <c r="N33" s="189">
        <v>2000.0</v>
      </c>
      <c r="O33" s="189">
        <v>2000.0</v>
      </c>
      <c r="P33" s="189">
        <v>2000.0</v>
      </c>
      <c r="Q33" s="189">
        <v>2000.0</v>
      </c>
      <c r="S33" s="189">
        <v>2000.0</v>
      </c>
      <c r="T33" s="189">
        <v>2000.0</v>
      </c>
      <c r="U33" s="189">
        <v>2000.0</v>
      </c>
      <c r="V33" s="189">
        <v>2000.0</v>
      </c>
      <c r="W33" s="189">
        <v>2000.0</v>
      </c>
      <c r="Y33" s="189">
        <v>2000.0</v>
      </c>
      <c r="AA33" s="189">
        <v>2000.0</v>
      </c>
    </row>
    <row r="34" ht="12.75" customHeight="1"/>
    <row r="35" ht="12.75" customHeight="1"/>
    <row r="36" ht="21.75" customHeight="1">
      <c r="I36" s="83" t="s">
        <v>311</v>
      </c>
    </row>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N11:O11"/>
    <mergeCell ref="M13:N13"/>
    <mergeCell ref="H15:M15"/>
  </mergeCells>
  <conditionalFormatting sqref="A2:A7">
    <cfRule type="containsBlanks" dxfId="0" priority="1">
      <formula>LEN(TRIM(A2))=0</formula>
    </cfRule>
  </conditionalFormatting>
  <conditionalFormatting sqref="A1:AB7 M10">
    <cfRule type="containsBlanks" dxfId="1" priority="2">
      <formula>LEN(TRIM(A1))=0</formula>
    </cfRule>
  </conditionalFormatting>
  <conditionalFormatting sqref="B17:AA17">
    <cfRule type="containsBlanks" dxfId="1" priority="3">
      <formula>LEN(TRIM(B17))=0</formula>
    </cfRule>
  </conditionalFormatting>
  <conditionalFormatting sqref="B26:AA26">
    <cfRule type="containsBlanks" dxfId="1" priority="4">
      <formula>LEN(TRIM(B26))=0</formula>
    </cfRule>
  </conditionalFormatting>
  <printOptions/>
  <pageMargins bottom="0.75" footer="0.0" header="0.0" left="0.7" right="0.7" top="0.75"/>
  <pageSetup orientation="portrait"/>
  <drawing r:id="rId1"/>
</worksheet>
</file>